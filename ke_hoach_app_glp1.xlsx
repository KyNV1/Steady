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Downloads\project\"/>
    </mc:Choice>
  </mc:AlternateContent>
  <xr:revisionPtr revIDLastSave="0" documentId="13_ncr:1_{B79A0A47-3B05-49FB-AB60-28EBFDFF2AD0}" xr6:coauthVersionLast="47" xr6:coauthVersionMax="47" xr10:uidLastSave="{00000000-0000-0000-0000-000000000000}"/>
  <bookViews>
    <workbookView xWindow="-120" yWindow="-120" windowWidth="29040" windowHeight="17790" tabRatio="500" activeTab="4" xr2:uid="{00000000-000D-0000-FFFF-FFFF00000000}"/>
  </bookViews>
  <sheets>
    <sheet name="Roadmap" sheetId="1" r:id="rId1"/>
    <sheet name="App tham khao" sheetId="2" r:id="rId2"/>
    <sheet name="Tinh nang MVP" sheetId="3" r:id="rId3"/>
    <sheet name="Ngan sach uoc tinh" sheetId="4" r:id="rId4"/>
    <sheet name="Du phong doanh thu" sheetId="5" r:id="rId5"/>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61" i="5" l="1"/>
  <c r="C61" i="5"/>
  <c r="D53" i="5"/>
  <c r="D54" i="5" s="1"/>
  <c r="D55" i="5" s="1"/>
  <c r="C53" i="5"/>
  <c r="C54" i="5" s="1"/>
  <c r="C55" i="5" s="1"/>
  <c r="D35" i="5"/>
  <c r="C35" i="5"/>
  <c r="D16" i="5"/>
  <c r="D17" i="5" s="1"/>
  <c r="D18" i="5" s="1"/>
  <c r="C16" i="5"/>
  <c r="C17" i="5" s="1"/>
  <c r="C18" i="5" s="1"/>
  <c r="C16" i="4"/>
  <c r="D15" i="4"/>
  <c r="D16" i="4" s="1"/>
  <c r="C15" i="4"/>
  <c r="E6" i="1"/>
  <c r="F6" i="1" s="1"/>
  <c r="E7" i="1" s="1"/>
  <c r="F7" i="1" s="1"/>
  <c r="E8" i="1" s="1"/>
  <c r="F8" i="1" s="1"/>
  <c r="E9" i="1" s="1"/>
  <c r="F9" i="1" s="1"/>
  <c r="E11" i="1" s="1"/>
  <c r="F11" i="1" s="1"/>
  <c r="E12" i="1" s="1"/>
  <c r="F12" i="1" s="1"/>
  <c r="E13" i="1" s="1"/>
  <c r="F13" i="1" s="1"/>
  <c r="E14" i="1" s="1"/>
  <c r="F14" i="1" s="1"/>
  <c r="E16" i="1" s="1"/>
  <c r="F16" i="1" s="1"/>
  <c r="E17" i="1" s="1"/>
  <c r="F17" i="1" s="1"/>
  <c r="E18" i="1" s="1"/>
  <c r="F18" i="1" s="1"/>
  <c r="E19" i="1" s="1"/>
  <c r="F19" i="1" s="1"/>
  <c r="E20" i="1" s="1"/>
  <c r="F20" i="1" s="1"/>
  <c r="E21" i="1" s="1"/>
  <c r="F21" i="1" s="1"/>
  <c r="E22" i="1" s="1"/>
  <c r="F22" i="1" s="1"/>
  <c r="E24" i="1" s="1"/>
  <c r="F24" i="1" s="1"/>
  <c r="E25" i="1" s="1"/>
  <c r="F25" i="1" s="1"/>
  <c r="E26" i="1" s="1"/>
  <c r="F26" i="1" s="1"/>
  <c r="E28" i="1" s="1"/>
  <c r="F28" i="1" s="1"/>
  <c r="E29" i="1" s="1"/>
  <c r="F29" i="1" s="1"/>
  <c r="E30" i="1" s="1"/>
  <c r="F30" i="1" s="1"/>
  <c r="E31" i="1" s="1"/>
  <c r="F31" i="1" s="1"/>
  <c r="E33" i="1" s="1"/>
  <c r="F33" i="1" s="1"/>
  <c r="E34" i="1" s="1"/>
  <c r="F34" i="1" s="1"/>
  <c r="E35" i="1" s="1"/>
  <c r="F35" i="1" s="1"/>
  <c r="C20" i="5" l="1"/>
  <c r="C19" i="5"/>
  <c r="C21" i="5"/>
  <c r="C22" i="5" s="1"/>
  <c r="C36" i="5"/>
  <c r="C37" i="5" s="1"/>
  <c r="C57" i="5"/>
  <c r="C56" i="5"/>
  <c r="C58" i="5"/>
  <c r="C59" i="5" s="1"/>
  <c r="C65" i="5" s="1"/>
  <c r="C62" i="5"/>
  <c r="C63" i="5" s="1"/>
  <c r="D20" i="5"/>
  <c r="D19" i="5"/>
  <c r="D22" i="5" s="1"/>
  <c r="D21" i="5"/>
  <c r="D36" i="5"/>
  <c r="D37" i="5" s="1"/>
  <c r="D57" i="5"/>
  <c r="D56" i="5"/>
  <c r="D58" i="5"/>
  <c r="D59" i="5" s="1"/>
  <c r="D65" i="5" s="1"/>
  <c r="D62" i="5"/>
  <c r="D63" i="5" s="1"/>
  <c r="D23" i="5" l="1"/>
  <c r="D39" i="5"/>
  <c r="C23" i="5"/>
  <c r="C39" i="5"/>
</calcChain>
</file>

<file path=xl/sharedStrings.xml><?xml version="1.0" encoding="utf-8"?>
<sst xmlns="http://schemas.openxmlformats.org/spreadsheetml/2006/main" count="335" uniqueCount="244">
  <si>
    <t>KE HOACH TRIEN KHAI: APP AI FOOD TRACKER CHO NGUOI DUNG GLP-1</t>
  </si>
  <si>
    <t>Thi truong muc tieu: My &amp; Chau Au  |  Ngay lap ke hoach: 2026-09-19</t>
  </si>
  <si>
    <t>#</t>
  </si>
  <si>
    <t>Giai doan</t>
  </si>
  <si>
    <t>Cong viec</t>
  </si>
  <si>
    <t>So tuan</t>
  </si>
  <si>
    <t>Ngay bat dau</t>
  </si>
  <si>
    <t>Ngay ket thuc</t>
  </si>
  <si>
    <t>Nguoi phu trach (goi y)</t>
  </si>
  <si>
    <t>Trang thai</t>
  </si>
  <si>
    <t>Ghi chu</t>
  </si>
  <si>
    <t>GIAI DOAN 0 - VALIDATION (2 tuan)</t>
  </si>
  <si>
    <t>Lam landing page mo ta y tuong app, thu thap email dang ky truoc</t>
  </si>
  <si>
    <t>Founder</t>
  </si>
  <si>
    <t>Chua bat dau</t>
  </si>
  <si>
    <t>Dung Carrd/Framer, muc tieu do muc do quan tam that</t>
  </si>
  <si>
    <t>Dang 5-10 video TikTok/Reels dang 'GLP-1 journey' de test phan ung thi truong</t>
  </si>
  <si>
    <t>Founder/Marketing</t>
  </si>
  <si>
    <t>Content ke chuyen thay vi quang cao truc tiep san pham</t>
  </si>
  <si>
    <t>Phong van/khao sat 15-20 nguoi trong cong dong r/GLP1, Facebook groups</t>
  </si>
  <si>
    <t>Xac nhan pain point that: theo doi khau phan nho, thieu protein, tac dung phu</t>
  </si>
  <si>
    <t>Teardown chi tiet 4 app doi thu (MeAgain, Shotsy, Regimen, GlowAgain)</t>
  </si>
  <si>
    <t>Product</t>
  </si>
  <si>
    <t>Xem sheet 'App tham khao'</t>
  </si>
  <si>
    <t>GIAI DOAN 1 - THIET KE SAN PHAM (2 tuan)</t>
  </si>
  <si>
    <t>Chot bo tinh nang MVP va do uu tien (xem sheet 'Tinh nang MVP')</t>
  </si>
  <si>
    <t>Ve wireframe / UI-UX (Figma)</t>
  </si>
  <si>
    <t>Designer</t>
  </si>
  <si>
    <t>Tham khao luong onboarding cua Cal AI va MeAgain</t>
  </si>
  <si>
    <t>Chon tech stack: React Native/Flutter, Firebase/Supabase, API vision (GPT-4V/Gemini/Claude)</t>
  </si>
  <si>
    <t>Tech Lead</t>
  </si>
  <si>
    <t>Uu tien toc do ra mat hon la toi uu chi phi luc dau</t>
  </si>
  <si>
    <t>Thiet ke va test prompt AI nhan dien mon an voi khau phan nho (dac thu GLP-1)</t>
  </si>
  <si>
    <t>Day la diem khac biet cot loi, can test ky voi anh thuc te</t>
  </si>
  <si>
    <t>GIAI DOAN 2 - PHAT TRIEN MVP (6-8 tuan)</t>
  </si>
  <si>
    <t>Setup backend, auth, database</t>
  </si>
  <si>
    <t>Backend Dev</t>
  </si>
  <si>
    <t>Xay dung tinh nang chup anh + AI nhan dien + macro/protein/chat xo</t>
  </si>
  <si>
    <t>Mobile Dev</t>
  </si>
  <si>
    <t>Tinh nang loi, uu tien chat luong cao nhat</t>
  </si>
  <si>
    <t>Xay dung tinh nang theo doi lieu tiem + nhac lich</t>
  </si>
  <si>
    <t>Ban toi gian, khong can phuc tap nhu Shotsy</t>
  </si>
  <si>
    <t>Xay dung tinh nang lien ket trieu chung - mon an (diem khac biet)</t>
  </si>
  <si>
    <t>Chua app nao lam tot phan nay</t>
  </si>
  <si>
    <t>Xay dung theo doi nuoc uong + can nang + anh tien do</t>
  </si>
  <si>
    <t>Tich hop subscription/paywall (RevenueCat)</t>
  </si>
  <si>
    <t>Tranh khoa qua chat phan calo co ban (bai hoc tu Goldi)</t>
  </si>
  <si>
    <t>QA noi bo, sua loi</t>
  </si>
  <si>
    <t>QA</t>
  </si>
  <si>
    <t>GIAI DOAN 3 - BETA &amp; SOFT LAUNCH (2 tuan)</t>
  </si>
  <si>
    <t>Phat hanh TestFlight (iOS) / Internal testing (Play)</t>
  </si>
  <si>
    <t>Moi 30-50 nguoi dung that tu cong dong GLP-1 dung thu</t>
  </si>
  <si>
    <t>Marketing</t>
  </si>
  <si>
    <t>Uu tien nguoi da tung tham gia khao sat Giai doan 0</t>
  </si>
  <si>
    <t>Thu thap phan hoi, sua loi, dieu chinh AI prompt</t>
  </si>
  <si>
    <t>Product/Tech</t>
  </si>
  <si>
    <t>GIAI DOAN 4 - RA MAT CHINH THUC &amp; MARKETING (lien tuc)</t>
  </si>
  <si>
    <t>Toi uu ASO (tieu de, mo ta, screenshot, tu khoa) tren App Store &amp; Google Play</t>
  </si>
  <si>
    <t>Tham khao cach dat ten/mo ta cua MeAgain, Cal AI</t>
  </si>
  <si>
    <t>Chien dich content TikTok/Instagram (before-after, review tu nguoi dung)</t>
  </si>
  <si>
    <t>Kenh viral tot nhat cho ngach nay theo du lieu Goldi/Cal AI</t>
  </si>
  <si>
    <t>Ngan sach test quang cao tra phi (UA) ban dau</t>
  </si>
  <si>
    <t>Xem uoc tinh ngan sach o sheet 'Ngan sach uoc tinh'</t>
  </si>
  <si>
    <t>Lien he 3-5 micro-influencer trong cong dong GLP-1</t>
  </si>
  <si>
    <t>GIAI DOAN 5 - TOI UU SAU RA MAT (lien tuc)</t>
  </si>
  <si>
    <t>Theo doi ty le churn, phan hoi, danh gia tren store</t>
  </si>
  <si>
    <t>Lam lien tuc tu thang dau tien</t>
  </si>
  <si>
    <t>Mo rong danh sach thuoc, ngon ngu (uu tien thi truong chau Au sau My)</t>
  </si>
  <si>
    <t>Xem xet them coaching AI / dong bo Apple Health sau khi co traction</t>
  </si>
  <si>
    <t>Chi lam sau khi MVP chung minh duoc nhu cau</t>
  </si>
  <si>
    <t>Chu thich: cot 'So tuan' (mau xanh duong) va 'Trang thai' (nen vang) la o ban tu dien/cap nhat. Ngay bat dau/ket thuc tinh tu dong theo cong thuc.</t>
  </si>
  <si>
    <t>APP THAM KHAO / CLONE Y TUONG</t>
  </si>
  <si>
    <t>Bam vao lien ket o cot 'Link Google Play' de xem truc tiep</t>
  </si>
  <si>
    <t>Ten app</t>
  </si>
  <si>
    <t>Ngach</t>
  </si>
  <si>
    <t>Nha phat trien</t>
  </si>
  <si>
    <t>Luot tai / Nguoi dung</t>
  </si>
  <si>
    <t>Danh gia</t>
  </si>
  <si>
    <t>Link Google Play</t>
  </si>
  <si>
    <t>Diem can hoc / can tranh</t>
  </si>
  <si>
    <t>MeAgain: GLP-1 Tracker App</t>
  </si>
  <si>
    <t>GLP-1 tracker (dan dau ngach)</t>
  </si>
  <si>
    <t>N/A</t>
  </si>
  <si>
    <t>560,000+ nguoi dung</t>
  </si>
  <si>
    <t>4.8 (25,000 danh gia)</t>
  </si>
  <si>
    <t>https://play.google.com/store/apps/details?id=app.meagain.app</t>
  </si>
  <si>
    <t>Hoc: bo tinh nang toan dien (lieu + trieu chung + AI food log 5 cach), chien luoc mien phi phan loi de chiem thi phan truoc, AI companion 'Capy' tang gan gui.</t>
  </si>
  <si>
    <t>Shotsy - GLP-1 Tracker</t>
  </si>
  <si>
    <t>GLP-1 tracker (lau doi nhat)</t>
  </si>
  <si>
    <t>https://play.google.com/store/apps/details?id=com.shotsy.app</t>
  </si>
  <si>
    <t>Hoc: UX theo doi vi tri tiem xoay vong, xuat PDF bao cao cho bac si - tinh nang tao niem tin voi nguoi dung nghiem tuc.</t>
  </si>
  <si>
    <t>Peptide Tracker GLP-1: Regimen</t>
  </si>
  <si>
    <t>GLP-1 tracker</t>
  </si>
  <si>
    <t>https://play.google.com/store/apps/details?id=com.regimen.app</t>
  </si>
  <si>
    <t>Hoc: bieu do uoc tinh muc thuoc con trong co the, so sanh du lieu lam sang - tang do tin cay khoa hoc.</t>
  </si>
  <si>
    <t>GlowAgain: GLP-1 Shot Tracker</t>
  </si>
  <si>
    <t>GLP-1 tracker (moi, it traction)</t>
  </si>
  <si>
    <t>Mavtao</t>
  </si>
  <si>
    <t>1,000+ (sau 10 thang)</t>
  </si>
  <si>
    <t>https://play.google.com/store/apps/details?id=com.glowagain.ai</t>
  </si>
  <si>
    <t>CAN TRANH: tinh nang gan giong MeAgain nhung khong differentiation ro, traction rat thap du ra mat 10 thang - bai hoc ve tam quan trong cua marketing/UA.</t>
  </si>
  <si>
    <t>Cal AI - Food Calorie Tracker</t>
  </si>
  <si>
    <t>AI calorie tracker (dan dau ngach goc)</t>
  </si>
  <si>
    <t>Cal AI, Inc.</t>
  </si>
  <si>
    <t>1,000,000+ luot tai</t>
  </si>
  <si>
    <t>4.7</t>
  </si>
  <si>
    <t>https://play.google.com/store/apps/details?id=com.viraldevelopment.calai</t>
  </si>
  <si>
    <t>Hoc: UX chup anh nhan dien mon an muot, luong onboarding ca nhan hoa muc tieu, mo hinh subscription $10/thang - $30/nam.</t>
  </si>
  <si>
    <t>AI Calorie Tracker: Goldi</t>
  </si>
  <si>
    <t>AI calorie tracker (cung dev voi GlowAgain)</t>
  </si>
  <si>
    <t>10,000-20,000</t>
  </si>
  <si>
    <t>4.37-4.6</t>
  </si>
  <si>
    <t>https://play.google.com/store/apps/details?id=com.goldilocks.calorie.ai</t>
  </si>
  <si>
    <t>CAN TRANH: paywall khoa ca phan xem calo co ban gay review xau ('khong lam duoc gi khac neu khong tra tien'). Rat nho sau 2 nam du co AI tot va tung len TikTok.</t>
  </si>
  <si>
    <t>Foodvisor - AI Calorie Counter</t>
  </si>
  <si>
    <t>AI calorie tracker</t>
  </si>
  <si>
    <t>Foodvisor</t>
  </si>
  <si>
    <t>12,000,000+ luot tai</t>
  </si>
  <si>
    <t>https://play.google.com/store/apps/details?id=io.foodvisor.foodvisor</t>
  </si>
  <si>
    <t>Hoc: da co mat lau, tham khao cach ho lam do sau tinh nang dinh duong (vitamin, khoang chat) de nang cao gia tri san pham.</t>
  </si>
  <si>
    <t>BitePal: AI Calorie Counter</t>
  </si>
  <si>
    <t>5,100,000+ luot tai</t>
  </si>
  <si>
    <t>https://play.google.com/store/apps/details?id=com.pookies.food.ai</t>
  </si>
  <si>
    <t>Hoc: doi thu moi noi tang truong nhanh - xem chien luoc ASO/marketing cua ho.</t>
  </si>
  <si>
    <t>Calo: AI Food Calorie Counter</t>
  </si>
  <si>
    <t>Next Vision Limited</t>
  </si>
  <si>
    <t>1,900,000+ luot tai</t>
  </si>
  <si>
    <t>https://play.google.com/store/apps/details?id=calo.ai.calorie.counter.weight.loss.diet.nutrition.macro.tracker.fasting</t>
  </si>
  <si>
    <t>Hoc: dinh vi da muc tieu (giam can, fasting, macro) trong 1 app - xem co lam loang trai nghiem khong.</t>
  </si>
  <si>
    <t>AI Calorie Counter - Appediet</t>
  </si>
  <si>
    <t>2,000,000+ luot tai</t>
  </si>
  <si>
    <t>https://play.google.com/store/apps/details?id=com.appediet.appediet</t>
  </si>
  <si>
    <t>Hoc: tham khao thu them 1 doi thu tam trung de so sanh dinh gia/tinh nang.</t>
  </si>
  <si>
    <t>Nguon: Google Play, AppBrain, Similarweb, Apptopia (thang 9/2026). So lieu luot tai/nguoi dung la uoc tinh, co the thay doi.</t>
  </si>
  <si>
    <t>BO TINH NANG MVP - UU TIEN</t>
  </si>
  <si>
    <t>Nhom tinh nang</t>
  </si>
  <si>
    <t>Mo ta</t>
  </si>
  <si>
    <t>Uu tien</t>
  </si>
  <si>
    <t>Co trong MVP?</t>
  </si>
  <si>
    <t>AI chup anh nhan dien mon an</t>
  </si>
  <si>
    <t>Uoc tinh calo/macro tu anh, toi uu rieng cho khau phan NHO dac thu GLP-1</t>
  </si>
  <si>
    <t>Bat buoc - loi san pham</t>
  </si>
  <si>
    <t>Co</t>
  </si>
  <si>
    <t>Nhan manh Protein &amp; Chat xo</t>
  </si>
  <si>
    <t>Hien thi noi bat thay vi chi calo, giai quyet noi lo mat co/tao bon</t>
  </si>
  <si>
    <t>Bat buoc</t>
  </si>
  <si>
    <t>Theo doi lieu tiem (don gian)</t>
  </si>
  <si>
    <t>Chon loai thuoc, lich nhac hang tuan, danh dau da tiem</t>
  </si>
  <si>
    <t>Lien ket trieu chung - mon an</t>
  </si>
  <si>
    <t>Gan trieu chung vao bua an, AI goi y mon co the gay kho chiu (diem khac biet)</t>
  </si>
  <si>
    <t>Uu tien cao - differentiator</t>
  </si>
  <si>
    <t>Theo doi nuoc uong &amp; can nang</t>
  </si>
  <si>
    <t>Hai thanh tien do don gian</t>
  </si>
  <si>
    <t>Uu tien cao</t>
  </si>
  <si>
    <t>Onboarding ca nhan hoa</t>
  </si>
  <si>
    <t>Hoi thuoc dang dung, muc tieu, tinh muc protein/calo hang ngay tu dong</t>
  </si>
  <si>
    <t>Subscription / Paywall</t>
  </si>
  <si>
    <t>Mien phi log co ban (khong gioi han that su, chi dat gioi han mem ~10-15 scan/ngay de chong lam dung/bot), thu phi phan insight nang cao (tranh khoa qua chat nhu Goldi)</t>
  </si>
  <si>
    <t>AI Coaching / Chatbot</t>
  </si>
  <si>
    <t>Tro ly AI dong hanh hang ngay (kieu 'Capy' cua MeAgain)</t>
  </si>
  <si>
    <t>Trung binh</t>
  </si>
  <si>
    <t>Khong - phase 2</t>
  </si>
  <si>
    <t>Dong bo Apple Health/Health Connect</t>
  </si>
  <si>
    <t>Dong bo hoat dong the chat</t>
  </si>
  <si>
    <t>Xuat bao cao PDF cho bac si</t>
  </si>
  <si>
    <t>Kieu Shotsy - tang do tin cay</t>
  </si>
  <si>
    <t>Thap</t>
  </si>
  <si>
    <t>Chia se xa hoi / cong dong</t>
  </si>
  <si>
    <t>Chia se tien do, cau chuyen truoc-sau</t>
  </si>
  <si>
    <t>Khong - phase 3</t>
  </si>
  <si>
    <t>Bieu do duoc dong hoc thuoc</t>
  </si>
  <si>
    <t>Uoc tinh muc thuoc con trong co the theo thoi gian (kieu Regimen)</t>
  </si>
  <si>
    <t>NGAN SACH UOC TINH (USD) - GIAI DOAN MVP + 3 THANG DAU RA MAT</t>
  </si>
  <si>
    <t>Phien ban bootstrap toi da (tu thiet ke, tu code, khong UA dai tra) - so lieu mau xanh la o gia dinh (input), dieu chinh theo thuc te cua ban</t>
  </si>
  <si>
    <t>Hang muc</t>
  </si>
  <si>
    <t>Uoc tinh thap (USD)</t>
  </si>
  <si>
    <t>Uoc tinh cao (USD)</t>
  </si>
  <si>
    <t>Ghi chu / gia dinh</t>
  </si>
  <si>
    <t>Thiet ke UI/UX (tu lam voi Claude/Google Stitch)</t>
  </si>
  <si>
    <t>Cap nhat 19/9/2026: ban tu thiet ke bang AI design tool (Claude, Google Stitch) thay vi thue freelancer. Chi phi con lai la subscription cong cu (uoc $0-20/thang x 2-3 thang) neu vuot free tier.</t>
  </si>
  <si>
    <t>Phat trien app (tu code, Android dev + AI ho tro)</t>
  </si>
  <si>
    <t>Cap nhat 19/9/2026: ban tu code (Android dev 3 nam kinh nghiem), dung AI coding assistant (Claude Code/Cursor) de tang toc. Chi phi chi la subscription AI coding tool (~$20-50/thang x 2-3 thang), khong thue ngoai.</t>
  </si>
  <si>
    <t>API AI vision (Gemini 2.5 Flash / Flash-Lite) - 3 thang dau</t>
  </si>
  <si>
    <t>Da cap nhat 19/9/2026: gia thuc te Gemini 2.5 Flash-Lite ~$0.0015/luot scan, Flash chuan ~$0.004/luot (gom ca anh input + text output). Gia dinh 5,000-20,000 luot scan/thang x 3 thang. Re hon nhieu so ban dau vi dung Cloud API gia re (Flash/Flash-Lite) thay vi model dat tien - khong can on-device.</t>
  </si>
  <si>
    <t>Ha tang backend (Firebase/Supabase)</t>
  </si>
  <si>
    <t>Mien phi tier ban dau, tra phi khi scale</t>
  </si>
  <si>
    <t>RevenueCat / cong cu subscription</t>
  </si>
  <si>
    <t>Mien phi tier ban dau</t>
  </si>
  <si>
    <t>Phi nha phat trien Apple + Google (1 lan/nam)</t>
  </si>
  <si>
    <t>Apple $99/nam, Google $25 mot lan (ghi $124 de du phong)</t>
  </si>
  <si>
    <t>Phap ly: dieu khoan, chinh sach bao mat, medical disclaimer</t>
  </si>
  <si>
    <t>Quan trong vi lien quan du lieu suc khoe (HIPAA-adjacent tuy thi truong)</t>
  </si>
  <si>
    <t>ASO (App Store Optimization) ban dau</t>
  </si>
  <si>
    <t>Co the tu lam hoac thue chuyen gia</t>
  </si>
  <si>
    <t>Ngan sach boost quang cao co chon loc (TikTok Spark Ads)</t>
  </si>
  <si>
    <t>Cap nhat 19/9/2026: KHONG chay UA dai tra. Chi dang video organic mien phi truoc, video nao tu nhien co traction tot moi dung Spark Ads de boost (bien post organic thanh ads, gia $5-20/ngay/video, hieu qua hon 30-150% so voi ads thuong vi giu duoc cam giac chan thuc). Neu khong video nao tot, khong can chi dong nao.</t>
  </si>
  <si>
    <t>Content marketing (video organic, affiliate/rev-share influencer)</t>
  </si>
  <si>
    <t>Uu tien lam organic 100% (quay video TikTok/Reels mien phi, dang r/GLP1 va cac nhom Facebook). Voi micro-influencer, uu tien mo hinh rev-share/affiliate (tra hoa hong theo % subscription ho mang ve) thay vi tra truoc, chi $0-300 danh cho 1-2 nguoi can thu nghiem tra phi co dinh nho neu can.</t>
  </si>
  <si>
    <t>Du phong / phat sinh (10%)</t>
  </si>
  <si>
    <t>Tinh tu dong = 10% tong cac muc tren</t>
  </si>
  <si>
    <t>TONG CONG UOC TINH</t>
  </si>
  <si>
    <t>Cap nhat 19/9/2026: da dieu chinh theo huong bootstrap toi da - tu thiet ke (Claude/Google Stitch), tu code (ban la Android dev), API AI dung Cloud gia re, khong chay UA dai tra ma chi boost co chon loc video organic da chung minh hieu qua (TikTok Spark Ads). Voi cach nay, tong ngan sach co the giam manh - phan lon chi phi con lai la thoi gian cua ban thay vi tien mat. Day van la uoc tinh so bo, khong phai bao gia chinh thuc.</t>
  </si>
  <si>
    <t>DU PHONG DOANH THU &amp; LOI NHUAN HANG THANG</t>
  </si>
  <si>
    <t>Doi cac o mau XANH DUONG (input) de xem ket qua tu dong cap nhat. Cap nhat 19/9/2026 theo benchmark RevenueCat/Adapty 'State of Subscription Apps 2026' - danh muc Health &amp; Fitness.</t>
  </si>
  <si>
    <t>THONG SO CHUNG (dung cho ca 2 kich ban)</t>
  </si>
  <si>
    <t>So luot tai / downloads (cong don)</t>
  </si>
  <si>
    <t>Phi Google Play (subscription, %)</t>
  </si>
  <si>
    <t>Chi phi API AI vision (% doanh thu)</t>
  </si>
  <si>
    <t>Chi phi ha tang/cong cu khac (% doanh thu)</t>
  </si>
  <si>
    <t>Chi so</t>
  </si>
  <si>
    <t>Kich ban THAN TRONG</t>
  </si>
  <si>
    <t>Kich ban KHA QUAN</t>
  </si>
  <si>
    <t>Ty le install-to-paid (%)</t>
  </si>
  <si>
    <t>Ty le con active hien tai (%)</t>
  </si>
  <si>
    <t>ARPU trung binh / thang (USD)</t>
  </si>
  <si>
    <t>KET QUA TINH TOAN</t>
  </si>
  <si>
    <t>So nguoi tung tra phi (cong don)</t>
  </si>
  <si>
    <t>So subscriber dang active</t>
  </si>
  <si>
    <t>Doanh thu gop / thang (USD)</t>
  </si>
  <si>
    <t>Phi Google Play (USD)</t>
  </si>
  <si>
    <t>Chi phi API AI (USD)</t>
  </si>
  <si>
    <t>Chi phi ha tang/cong cu (USD)</t>
  </si>
  <si>
    <t>LOI NHUAN RONG / THANG (USD)</t>
  </si>
  <si>
    <t>Ty suat loi nhuan rong (%)</t>
  </si>
  <si>
    <t>Nguon benchmark: RevenueCat &amp; Adapty 'State of Subscription Apps 2026' (Health &amp; Fitness): install-to-trial ~9.5% toan cau / 14.5% Bac My, trial-to-paid ~42.2%, Install LTV ~$1.21 (toan cau, thi truong My/Au thuong cao hon). Day la MO HINH UOC TINH dua tren benchmark nganh, KHONG phai cam ket ket qua thuc te - ket qua thuc phu thuoc rat lon vao chat luong san pham va onboarding/paywall (vi du Goldi co 10-20K luot tai nhung doanh thu thuc te nhieu kha nang thap hon nhieu so mo hinh nay vi trai nghiem paywall bi danh gia kem).</t>
  </si>
  <si>
    <t>DOANH THU BO SUNG TU QUANG CAO ADMOB (nguoi dung mien phi, khong hien ads cho subscriber tra phi)</t>
  </si>
  <si>
    <t>Ty le MAU / tong luot tai (%) - dung chung</t>
  </si>
  <si>
    <t>eCPM Rewarded video (USD/1000 luot xem)</t>
  </si>
  <si>
    <t>eCPM Interstitial (USD/1000 luot xem)</t>
  </si>
  <si>
    <t>So luot xem Rewarded / free user / thang (nhe nhang, opt-in)</t>
  </si>
  <si>
    <t>So luot xem Interstitial / free user / thang</t>
  </si>
  <si>
    <t>MAU (nguoi dung hoat dong hang thang)</t>
  </si>
  <si>
    <t>Free user con lai (MAU tru subscriber active)</t>
  </si>
  <si>
    <t>Doanh thu Ads / thang (USD)</t>
  </si>
  <si>
    <t>TONG LOI NHUAN RONG (Subscription + Ads) / THANG</t>
  </si>
  <si>
    <t>Nguon eCPM: uoc tinh dua tren benchmark AdMob Tier 1 (US/UK/Canada/Uc/Duc) 2026 cho Rewarded ($14-22) va Interstitial ($9-14) noi chung - da dieu chinh xuong thap hon mot chut cho rieng Health &amp; Fitness (khong co du lieu category rieng cong khai). Ty le MAU/luot tai 18% la gia dinh trung binh nganh app suc khoe (nhieu nguoi tai xong bo som). CHU Y QUAN TRONG: KHONG hien ads cho nguoi da tra subscription (giu trai nghiem 'sach' la mot ly do de nguoi dung tra phi). Chi dung Rewarded video nhe nhang (vi du: xem 1 video de mo khoa them luot scan vuot gioi han mem hang ngay) thay vi banner/interstitial day dac - vi app lien quan du lieu suc khoe/thuoc men rat nhay cam voi niem tin nguoi dung, qua nhieu quang cao co the gay 'silent churn' (nguoi dung am tham roi bo) va anh huong ty le chuyen doi len subscription.</t>
  </si>
  <si>
    <t>KICH BAN THUC TE HON (moc lap ke hoach de nghi - xem chi tiet cuoc thao luan)</t>
  </si>
  <si>
    <t>Dua tren du lieu that trong sheet 'App tham khao': GlowAgain (cung chien luoc tu lam/organic) chi dat 1.000+ luot tai sau 10 thang; Goldi (cung dev Mavtao) dat 10.000-20.000 sau 2 nam. Gia dinh 50.000 luot tai o bang phia tren la CHUA duoc validate va cao hon dang ke so cac app tham chieu cung nhom chien luoc. Dung khoi 3.000-5.000 luot tai trong 6 thang dau lam moc ke hoach de thay the.</t>
  </si>
  <si>
    <t>Kich ban THAN TRONG (tai thap)</t>
  </si>
  <si>
    <t>Kich ban KHA QUAN (tai thap)</t>
  </si>
  <si>
    <t>So luot tai / downloads (cong don, 6 thang dau)</t>
  </si>
  <si>
    <t>LOI NHUAN RONG / THANG (Subscription, USD)</t>
  </si>
  <si>
    <t>TONG LOI NHUAN RONG (Subscription + Ads) / THANG - kich ban thuc te hon</t>
  </si>
  <si>
    <t>Khuyen nghi: dung khoang loi nhuan o day (thay vi $6.900-$15.200/thang o bang dau, dua tren 50.000 luot tai chua validate) de lap ngan sach va ky vong tai chinh trong 6-12 thang dau. Quan trong hon ca hai bang so: dung ket qua thuc te cua 'Giai doan 0 - VALIDATION' (landing page conversion, phan ung video test, phan hoi phong van) trong sheet Roadmap de quyet dinh go/no-go, vi day la du lieu that thu ve truoc khi bo cong build MVP - khong phai suy doan trong bang tinh nay.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</si>
</sst>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0"/>
    <numFmt numFmtId="166" formatCode="0.0%"/>
    <numFmt numFmtId="167" formatCode="\$#,##0.00"/>
    <numFmt numFmtId="168" formatCode="0.0"/>
  </numFmts>
  <fonts count="13" x14ac:knownFonts="1">
    <font>
      <sz val="11"/>
      <color theme="1"/>
      <name val="Calibri"/>
      <family val="2"/>
      <charset val="1"/>
    </font>
    <font>
      <b/>
      <sz val="14"/>
      <color rgb="FF1F4E78"/>
      <name val="Arial"/>
      <charset val="1"/>
    </font>
    <font>
      <i/>
      <sz val="10"/>
      <color rgb="FF666666"/>
      <name val="Arial"/>
      <charset val="1"/>
    </font>
    <font>
      <b/>
      <sz val="11"/>
      <color rgb="FFFFFFFF"/>
      <name val="Arial"/>
      <charset val="1"/>
    </font>
    <font>
      <b/>
      <sz val="11"/>
      <color rgb="FF1F4E78"/>
      <name val="Arial"/>
      <charset val="1"/>
    </font>
    <font>
      <sz val="11"/>
      <color rgb="FF000000"/>
      <name val="Arial"/>
      <charset val="1"/>
    </font>
    <font>
      <sz val="11"/>
      <color rgb="FF0000FF"/>
      <name val="Arial"/>
      <charset val="1"/>
    </font>
    <font>
      <i/>
      <sz val="9"/>
      <color rgb="FF808080"/>
      <name val="Arial"/>
      <charset val="1"/>
    </font>
    <font>
      <u/>
      <sz val="11"/>
      <color rgb="FF0563C1"/>
      <name val="Arial"/>
      <charset val="1"/>
    </font>
    <font>
      <b/>
      <sz val="11"/>
      <color rgb="FF1F7A1F"/>
      <name val="Arial"/>
      <charset val="1"/>
    </font>
    <font>
      <sz val="11"/>
      <color rgb="FFB00000"/>
      <name val="Arial"/>
      <charset val="1"/>
    </font>
    <font>
      <b/>
      <sz val="11"/>
      <name val="Arial"/>
      <charset val="1"/>
    </font>
    <font>
      <b/>
      <sz val="11"/>
      <color rgb="FF833C00"/>
      <name val="Arial"/>
      <charset val="1"/>
    </font>
  </fonts>
  <fills count="8">
    <fill>
      <patternFill patternType="none"/>
    </fill>
    <fill>
      <patternFill patternType="gray125"/>
    </fill>
    <fill>
      <patternFill patternType="solid">
        <fgColor rgb="FF1F4E78"/>
        <bgColor rgb="FF003366"/>
      </patternFill>
    </fill>
    <fill>
      <patternFill patternType="solid">
        <fgColor rgb="FFD9E1F2"/>
        <bgColor rgb="FFD6E4F0"/>
      </patternFill>
    </fill>
    <fill>
      <patternFill patternType="solid">
        <fgColor rgb="FFFFFF00"/>
        <bgColor rgb="FFFFFF00"/>
      </patternFill>
    </fill>
    <fill>
      <patternFill patternType="solid">
        <fgColor rgb="FFFCE4D6"/>
        <bgColor rgb="FFE2EFDA"/>
      </patternFill>
    </fill>
    <fill>
      <patternFill patternType="solid">
        <fgColor rgb="FFE2EFDA"/>
        <bgColor rgb="FFD6E4F0"/>
      </patternFill>
    </fill>
    <fill>
      <patternFill patternType="solid">
        <fgColor rgb="FFD6E4F0"/>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4" fillId="7" borderId="0" xfId="0" applyFont="1" applyFill="1"/>
    <xf numFmtId="0" fontId="7" fillId="0" borderId="0" xfId="0" applyFont="1" applyAlignment="1">
      <alignment vertical="top" wrapText="1"/>
    </xf>
    <xf numFmtId="0" fontId="12" fillId="5" borderId="0" xfId="0" applyFont="1" applyFill="1"/>
    <xf numFmtId="0" fontId="2" fillId="0" borderId="0" xfId="0" applyFont="1" applyAlignment="1">
      <alignment vertical="top" wrapText="1"/>
    </xf>
    <xf numFmtId="0" fontId="11" fillId="3" borderId="1" xfId="0" applyFont="1" applyFill="1" applyBorder="1"/>
    <xf numFmtId="0" fontId="7" fillId="0" borderId="0" xfId="0" applyFont="1"/>
    <xf numFmtId="0" fontId="4" fillId="3" borderId="1" xfId="0" applyFont="1" applyFill="1" applyBorder="1" applyAlignment="1">
      <alignment horizontal="left" vertical="center"/>
    </xf>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0" fontId="5" fillId="4" borderId="1" xfId="0" applyFont="1" applyFill="1" applyBorder="1" applyAlignment="1">
      <alignment horizontal="center" vertical="center" wrapText="1"/>
    </xf>
    <xf numFmtId="0" fontId="8" fillId="0" borderId="1" xfId="0" applyFont="1" applyBorder="1" applyAlignment="1">
      <alignment vertical="top"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165" fontId="6"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165" fontId="11" fillId="3" borderId="1" xfId="0" applyNumberFormat="1" applyFont="1" applyFill="1" applyBorder="1" applyAlignment="1">
      <alignment horizontal="center" vertical="center" wrapText="1"/>
    </xf>
    <xf numFmtId="0" fontId="0" fillId="3" borderId="1" xfId="0" applyFill="1" applyBorder="1"/>
    <xf numFmtId="0" fontId="12" fillId="5" borderId="0" xfId="0" applyFont="1" applyFill="1"/>
    <xf numFmtId="0" fontId="0" fillId="0" borderId="1" xfId="0" applyBorder="1"/>
    <xf numFmtId="3" fontId="6" fillId="0" borderId="1" xfId="0" applyNumberFormat="1" applyFont="1" applyBorder="1"/>
    <xf numFmtId="166" fontId="6" fillId="0" borderId="1" xfId="0" applyNumberFormat="1" applyFont="1" applyBorder="1"/>
    <xf numFmtId="0" fontId="0" fillId="0" borderId="1" xfId="0" applyBorder="1" applyAlignment="1">
      <alignment horizontal="left"/>
    </xf>
    <xf numFmtId="166" fontId="6" fillId="0" borderId="1" xfId="0" applyNumberFormat="1" applyFont="1" applyBorder="1" applyAlignment="1">
      <alignment horizontal="center" vertical="center" wrapText="1"/>
    </xf>
    <xf numFmtId="167" fontId="6" fillId="0" borderId="1" xfId="0" applyNumberFormat="1" applyFont="1" applyBorder="1" applyAlignment="1">
      <alignment horizontal="center" vertical="center" wrapText="1"/>
    </xf>
    <xf numFmtId="0" fontId="5" fillId="0" borderId="1" xfId="0" applyFont="1" applyBorder="1"/>
    <xf numFmtId="3" fontId="5" fillId="0" borderId="1" xfId="0" applyNumberFormat="1" applyFont="1" applyBorder="1" applyAlignment="1">
      <alignment horizontal="center" vertical="center" wrapText="1"/>
    </xf>
    <xf numFmtId="0" fontId="11" fillId="6" borderId="1" xfId="0" applyFont="1" applyFill="1" applyBorder="1"/>
    <xf numFmtId="165" fontId="9" fillId="6" borderId="1" xfId="0" applyNumberFormat="1" applyFont="1" applyFill="1" applyBorder="1" applyAlignment="1">
      <alignment horizontal="center" vertical="center" wrapText="1"/>
    </xf>
    <xf numFmtId="166" fontId="11" fillId="0" borderId="1" xfId="0" applyNumberFormat="1" applyFont="1" applyBorder="1" applyAlignment="1">
      <alignment horizontal="center" vertical="center" wrapText="1"/>
    </xf>
    <xf numFmtId="167" fontId="6" fillId="0" borderId="1" xfId="0" applyNumberFormat="1" applyFont="1" applyBorder="1"/>
    <xf numFmtId="168" fontId="6" fillId="0" borderId="1" xfId="0" applyNumberFormat="1" applyFont="1" applyBorder="1"/>
    <xf numFmtId="3" fontId="6"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B00000"/>
      <rgbColor rgb="FF1F7A1F"/>
      <rgbColor rgb="FF000080"/>
      <rgbColor rgb="FF808000"/>
      <rgbColor rgb="FF800080"/>
      <rgbColor rgb="FF008080"/>
      <rgbColor rgb="FFBFBFBF"/>
      <rgbColor rgb="FF808080"/>
      <rgbColor rgb="FF9999FF"/>
      <rgbColor rgb="FF993366"/>
      <rgbColor rgb="FFFCE4D6"/>
      <rgbColor rgb="FFD6E4F0"/>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833C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play.google.com/store/apps/details?id=com.pookies.food.ai" TargetMode="External"/><Relationship Id="rId3" Type="http://schemas.openxmlformats.org/officeDocument/2006/relationships/hyperlink" Target="https://play.google.com/store/apps/details?id=com.regimen.app" TargetMode="External"/><Relationship Id="rId7" Type="http://schemas.openxmlformats.org/officeDocument/2006/relationships/hyperlink" Target="https://play.google.com/store/apps/details?id=io.foodvisor.foodvisor" TargetMode="External"/><Relationship Id="rId2" Type="http://schemas.openxmlformats.org/officeDocument/2006/relationships/hyperlink" Target="https://play.google.com/store/apps/details?id=com.shotsy.app" TargetMode="External"/><Relationship Id="rId1" Type="http://schemas.openxmlformats.org/officeDocument/2006/relationships/hyperlink" Target="https://play.google.com/store/apps/details?id=app.meagain.app" TargetMode="External"/><Relationship Id="rId6" Type="http://schemas.openxmlformats.org/officeDocument/2006/relationships/hyperlink" Target="https://play.google.com/store/apps/details?id=com.goldilocks.calorie.ai" TargetMode="External"/><Relationship Id="rId5" Type="http://schemas.openxmlformats.org/officeDocument/2006/relationships/hyperlink" Target="https://play.google.com/store/apps/details?id=com.viraldevelopment.calai" TargetMode="External"/><Relationship Id="rId10" Type="http://schemas.openxmlformats.org/officeDocument/2006/relationships/hyperlink" Target="https://play.google.com/store/apps/details?id=com.appediet.appediet" TargetMode="External"/><Relationship Id="rId4" Type="http://schemas.openxmlformats.org/officeDocument/2006/relationships/hyperlink" Target="https://play.google.com/store/apps/details?id=com.glowagain.ai" TargetMode="External"/><Relationship Id="rId9" Type="http://schemas.openxmlformats.org/officeDocument/2006/relationships/hyperlink" Target="https://play.google.com/store/apps/details?id=calo.ai.calorie.counter.weight.loss.diet.nutrition.macro.tracker.fas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zoomScaleNormal="100" workbookViewId="0">
      <pane ySplit="4" topLeftCell="A5" activePane="bottomLeft" state="frozen"/>
      <selection pane="bottomLeft" activeCell="Q14" sqref="Q14"/>
    </sheetView>
  </sheetViews>
  <sheetFormatPr defaultColWidth="8.7109375" defaultRowHeight="15" x14ac:dyDescent="0.25"/>
  <cols>
    <col min="1" max="1" width="4" customWidth="1"/>
    <col min="2" max="2" width="3" customWidth="1"/>
    <col min="3" max="3" width="46" customWidth="1"/>
    <col min="4" max="4" width="8" customWidth="1"/>
    <col min="5" max="6" width="12" customWidth="1"/>
    <col min="7" max="7" width="18" customWidth="1"/>
    <col min="8" max="8" width="13" customWidth="1"/>
    <col min="9" max="9" width="42" customWidth="1"/>
  </cols>
  <sheetData>
    <row r="1" spans="1:9" ht="19.5" customHeight="1" x14ac:dyDescent="0.25">
      <c r="B1" s="9" t="s">
        <v>0</v>
      </c>
      <c r="C1" s="9"/>
      <c r="D1" s="9"/>
      <c r="E1" s="9"/>
      <c r="F1" s="9"/>
      <c r="G1" s="9"/>
      <c r="H1" s="9"/>
      <c r="I1" s="9"/>
    </row>
    <row r="2" spans="1:9" ht="15" customHeight="1" x14ac:dyDescent="0.25">
      <c r="B2" s="8" t="s">
        <v>1</v>
      </c>
      <c r="C2" s="8"/>
      <c r="D2" s="8"/>
      <c r="E2" s="8"/>
      <c r="F2" s="8"/>
      <c r="G2" s="8"/>
      <c r="H2" s="8"/>
      <c r="I2" s="8"/>
    </row>
    <row r="4" spans="1:9" ht="64.5" customHeight="1" x14ac:dyDescent="0.25">
      <c r="A4" s="10" t="s">
        <v>2</v>
      </c>
      <c r="B4" s="10" t="s">
        <v>3</v>
      </c>
      <c r="C4" s="10" t="s">
        <v>4</v>
      </c>
      <c r="D4" s="10" t="s">
        <v>5</v>
      </c>
      <c r="E4" s="10" t="s">
        <v>6</v>
      </c>
      <c r="F4" s="10" t="s">
        <v>7</v>
      </c>
      <c r="G4" s="10" t="s">
        <v>8</v>
      </c>
      <c r="H4" s="10" t="s">
        <v>9</v>
      </c>
      <c r="I4" s="10" t="s">
        <v>10</v>
      </c>
    </row>
    <row r="5" spans="1:9" ht="15" customHeight="1" x14ac:dyDescent="0.25">
      <c r="A5" s="7" t="s">
        <v>11</v>
      </c>
      <c r="B5" s="7"/>
      <c r="C5" s="7"/>
      <c r="D5" s="7"/>
      <c r="E5" s="7"/>
      <c r="F5" s="7"/>
      <c r="G5" s="7"/>
      <c r="H5" s="7"/>
      <c r="I5" s="7"/>
    </row>
    <row r="6" spans="1:9" ht="26.25" customHeight="1" x14ac:dyDescent="0.25">
      <c r="A6" s="11">
        <v>1</v>
      </c>
      <c r="B6" s="12"/>
      <c r="C6" s="12" t="s">
        <v>12</v>
      </c>
      <c r="D6" s="13">
        <v>0.5</v>
      </c>
      <c r="E6" s="14">
        <f>DATE(2026,9,19)</f>
        <v>46284</v>
      </c>
      <c r="F6" s="14">
        <f>E6+D6*7</f>
        <v>46287.5</v>
      </c>
      <c r="G6" s="12" t="s">
        <v>13</v>
      </c>
      <c r="H6" s="15" t="s">
        <v>14</v>
      </c>
      <c r="I6" s="12" t="s">
        <v>15</v>
      </c>
    </row>
    <row r="7" spans="1:9" ht="26.25" customHeight="1" x14ac:dyDescent="0.25">
      <c r="A7" s="11">
        <v>2</v>
      </c>
      <c r="B7" s="12"/>
      <c r="C7" s="12" t="s">
        <v>16</v>
      </c>
      <c r="D7" s="13">
        <v>1</v>
      </c>
      <c r="E7" s="14">
        <f>F6</f>
        <v>46287.5</v>
      </c>
      <c r="F7" s="14">
        <f>E7+D7*7</f>
        <v>46294.5</v>
      </c>
      <c r="G7" s="12" t="s">
        <v>17</v>
      </c>
      <c r="H7" s="15" t="s">
        <v>14</v>
      </c>
      <c r="I7" s="12" t="s">
        <v>18</v>
      </c>
    </row>
    <row r="8" spans="1:9" ht="26.25" customHeight="1" x14ac:dyDescent="0.25">
      <c r="A8" s="11">
        <v>3</v>
      </c>
      <c r="B8" s="12"/>
      <c r="C8" s="12" t="s">
        <v>19</v>
      </c>
      <c r="D8" s="13">
        <v>1</v>
      </c>
      <c r="E8" s="14">
        <f>F7</f>
        <v>46294.5</v>
      </c>
      <c r="F8" s="14">
        <f>E8+D8*7</f>
        <v>46301.5</v>
      </c>
      <c r="G8" s="12" t="s">
        <v>13</v>
      </c>
      <c r="H8" s="15" t="s">
        <v>14</v>
      </c>
      <c r="I8" s="12" t="s">
        <v>20</v>
      </c>
    </row>
    <row r="9" spans="1:9" ht="26.25" customHeight="1" x14ac:dyDescent="0.25">
      <c r="A9" s="11">
        <v>4</v>
      </c>
      <c r="B9" s="12"/>
      <c r="C9" s="12" t="s">
        <v>21</v>
      </c>
      <c r="D9" s="13">
        <v>0.5</v>
      </c>
      <c r="E9" s="14">
        <f>F8</f>
        <v>46301.5</v>
      </c>
      <c r="F9" s="14">
        <f>E9+D9*7</f>
        <v>46305</v>
      </c>
      <c r="G9" s="12" t="s">
        <v>22</v>
      </c>
      <c r="H9" s="15" t="s">
        <v>14</v>
      </c>
      <c r="I9" s="12" t="s">
        <v>23</v>
      </c>
    </row>
    <row r="10" spans="1:9" ht="15" customHeight="1" x14ac:dyDescent="0.25">
      <c r="A10" s="7" t="s">
        <v>24</v>
      </c>
      <c r="B10" s="7"/>
      <c r="C10" s="7"/>
      <c r="D10" s="7"/>
      <c r="E10" s="7"/>
      <c r="F10" s="7"/>
      <c r="G10" s="7"/>
      <c r="H10" s="7"/>
      <c r="I10" s="7"/>
    </row>
    <row r="11" spans="1:9" ht="26.25" customHeight="1" x14ac:dyDescent="0.25">
      <c r="A11" s="11">
        <v>5</v>
      </c>
      <c r="B11" s="12"/>
      <c r="C11" s="12" t="s">
        <v>25</v>
      </c>
      <c r="D11" s="13">
        <v>0.5</v>
      </c>
      <c r="E11" s="14">
        <f>F9</f>
        <v>46305</v>
      </c>
      <c r="F11" s="14">
        <f>E11+D11*7</f>
        <v>46308.5</v>
      </c>
      <c r="G11" s="12" t="s">
        <v>22</v>
      </c>
      <c r="H11" s="15" t="s">
        <v>14</v>
      </c>
      <c r="I11" s="12"/>
    </row>
    <row r="12" spans="1:9" ht="26.25" customHeight="1" x14ac:dyDescent="0.25">
      <c r="A12" s="11">
        <v>6</v>
      </c>
      <c r="B12" s="12"/>
      <c r="C12" s="12" t="s">
        <v>26</v>
      </c>
      <c r="D12" s="13">
        <v>1</v>
      </c>
      <c r="E12" s="14">
        <f>F11</f>
        <v>46308.5</v>
      </c>
      <c r="F12" s="14">
        <f>E12+D12*7</f>
        <v>46315.5</v>
      </c>
      <c r="G12" s="12" t="s">
        <v>27</v>
      </c>
      <c r="H12" s="15" t="s">
        <v>14</v>
      </c>
      <c r="I12" s="12" t="s">
        <v>28</v>
      </c>
    </row>
    <row r="13" spans="1:9" ht="39" customHeight="1" x14ac:dyDescent="0.25">
      <c r="A13" s="11">
        <v>7</v>
      </c>
      <c r="B13" s="12"/>
      <c r="C13" s="12" t="s">
        <v>29</v>
      </c>
      <c r="D13" s="13">
        <v>0.5</v>
      </c>
      <c r="E13" s="14">
        <f>F12</f>
        <v>46315.5</v>
      </c>
      <c r="F13" s="14">
        <f>E13+D13*7</f>
        <v>46319</v>
      </c>
      <c r="G13" s="12" t="s">
        <v>30</v>
      </c>
      <c r="H13" s="15" t="s">
        <v>14</v>
      </c>
      <c r="I13" s="12" t="s">
        <v>31</v>
      </c>
    </row>
    <row r="14" spans="1:9" ht="26.25" customHeight="1" x14ac:dyDescent="0.25">
      <c r="A14" s="11">
        <v>8</v>
      </c>
      <c r="B14" s="12"/>
      <c r="C14" s="12" t="s">
        <v>32</v>
      </c>
      <c r="D14" s="13">
        <v>1</v>
      </c>
      <c r="E14" s="14">
        <f>F13</f>
        <v>46319</v>
      </c>
      <c r="F14" s="14">
        <f>E14+D14*7</f>
        <v>46326</v>
      </c>
      <c r="G14" s="12" t="s">
        <v>30</v>
      </c>
      <c r="H14" s="15" t="s">
        <v>14</v>
      </c>
      <c r="I14" s="12" t="s">
        <v>33</v>
      </c>
    </row>
    <row r="15" spans="1:9" ht="15" customHeight="1" x14ac:dyDescent="0.25">
      <c r="A15" s="7" t="s">
        <v>34</v>
      </c>
      <c r="B15" s="7"/>
      <c r="C15" s="7"/>
      <c r="D15" s="7"/>
      <c r="E15" s="7"/>
      <c r="F15" s="7"/>
      <c r="G15" s="7"/>
      <c r="H15" s="7"/>
      <c r="I15" s="7"/>
    </row>
    <row r="16" spans="1:9" ht="26.25" customHeight="1" x14ac:dyDescent="0.25">
      <c r="A16" s="11">
        <v>9</v>
      </c>
      <c r="B16" s="12"/>
      <c r="C16" s="12" t="s">
        <v>35</v>
      </c>
      <c r="D16" s="13">
        <v>1</v>
      </c>
      <c r="E16" s="14">
        <f>F14</f>
        <v>46326</v>
      </c>
      <c r="F16" s="14">
        <f t="shared" ref="F16:F22" si="0">E16+D16*7</f>
        <v>46333</v>
      </c>
      <c r="G16" s="12" t="s">
        <v>36</v>
      </c>
      <c r="H16" s="15" t="s">
        <v>14</v>
      </c>
      <c r="I16" s="12"/>
    </row>
    <row r="17" spans="1:9" ht="26.25" customHeight="1" x14ac:dyDescent="0.25">
      <c r="A17" s="11">
        <v>10</v>
      </c>
      <c r="B17" s="12"/>
      <c r="C17" s="12" t="s">
        <v>37</v>
      </c>
      <c r="D17" s="13">
        <v>2</v>
      </c>
      <c r="E17" s="14">
        <f t="shared" ref="E17:E22" si="1">F16</f>
        <v>46333</v>
      </c>
      <c r="F17" s="14">
        <f t="shared" si="0"/>
        <v>46347</v>
      </c>
      <c r="G17" s="12" t="s">
        <v>38</v>
      </c>
      <c r="H17" s="15" t="s">
        <v>14</v>
      </c>
      <c r="I17" s="12" t="s">
        <v>39</v>
      </c>
    </row>
    <row r="18" spans="1:9" ht="26.25" customHeight="1" x14ac:dyDescent="0.25">
      <c r="A18" s="11">
        <v>11</v>
      </c>
      <c r="B18" s="12"/>
      <c r="C18" s="12" t="s">
        <v>40</v>
      </c>
      <c r="D18" s="13">
        <v>1</v>
      </c>
      <c r="E18" s="14">
        <f t="shared" si="1"/>
        <v>46347</v>
      </c>
      <c r="F18" s="14">
        <f t="shared" si="0"/>
        <v>46354</v>
      </c>
      <c r="G18" s="12" t="s">
        <v>38</v>
      </c>
      <c r="H18" s="15" t="s">
        <v>14</v>
      </c>
      <c r="I18" s="12" t="s">
        <v>41</v>
      </c>
    </row>
    <row r="19" spans="1:9" ht="26.25" customHeight="1" x14ac:dyDescent="0.25">
      <c r="A19" s="11">
        <v>12</v>
      </c>
      <c r="B19" s="12"/>
      <c r="C19" s="12" t="s">
        <v>42</v>
      </c>
      <c r="D19" s="13">
        <v>1.5</v>
      </c>
      <c r="E19" s="14">
        <f t="shared" si="1"/>
        <v>46354</v>
      </c>
      <c r="F19" s="14">
        <f t="shared" si="0"/>
        <v>46364.5</v>
      </c>
      <c r="G19" s="12" t="s">
        <v>38</v>
      </c>
      <c r="H19" s="15" t="s">
        <v>14</v>
      </c>
      <c r="I19" s="12" t="s">
        <v>43</v>
      </c>
    </row>
    <row r="20" spans="1:9" ht="26.25" customHeight="1" x14ac:dyDescent="0.25">
      <c r="A20" s="11">
        <v>13</v>
      </c>
      <c r="B20" s="12"/>
      <c r="C20" s="12" t="s">
        <v>44</v>
      </c>
      <c r="D20" s="13">
        <v>1</v>
      </c>
      <c r="E20" s="14">
        <f t="shared" si="1"/>
        <v>46364.5</v>
      </c>
      <c r="F20" s="14">
        <f t="shared" si="0"/>
        <v>46371.5</v>
      </c>
      <c r="G20" s="12" t="s">
        <v>38</v>
      </c>
      <c r="H20" s="15" t="s">
        <v>14</v>
      </c>
      <c r="I20" s="12"/>
    </row>
    <row r="21" spans="1:9" ht="26.25" customHeight="1" x14ac:dyDescent="0.25">
      <c r="A21" s="11">
        <v>14</v>
      </c>
      <c r="B21" s="12"/>
      <c r="C21" s="12" t="s">
        <v>45</v>
      </c>
      <c r="D21" s="13">
        <v>0.5</v>
      </c>
      <c r="E21" s="14">
        <f t="shared" si="1"/>
        <v>46371.5</v>
      </c>
      <c r="F21" s="14">
        <f t="shared" si="0"/>
        <v>46375</v>
      </c>
      <c r="G21" s="12" t="s">
        <v>38</v>
      </c>
      <c r="H21" s="15" t="s">
        <v>14</v>
      </c>
      <c r="I21" s="12" t="s">
        <v>46</v>
      </c>
    </row>
    <row r="22" spans="1:9" ht="26.25" customHeight="1" x14ac:dyDescent="0.25">
      <c r="A22" s="11">
        <v>15</v>
      </c>
      <c r="B22" s="12"/>
      <c r="C22" s="12" t="s">
        <v>47</v>
      </c>
      <c r="D22" s="13">
        <v>1</v>
      </c>
      <c r="E22" s="14">
        <f t="shared" si="1"/>
        <v>46375</v>
      </c>
      <c r="F22" s="14">
        <f t="shared" si="0"/>
        <v>46382</v>
      </c>
      <c r="G22" s="12" t="s">
        <v>48</v>
      </c>
      <c r="H22" s="15" t="s">
        <v>14</v>
      </c>
      <c r="I22" s="12"/>
    </row>
    <row r="23" spans="1:9" ht="15" customHeight="1" x14ac:dyDescent="0.25">
      <c r="A23" s="7" t="s">
        <v>49</v>
      </c>
      <c r="B23" s="7"/>
      <c r="C23" s="7"/>
      <c r="D23" s="7"/>
      <c r="E23" s="7"/>
      <c r="F23" s="7"/>
      <c r="G23" s="7"/>
      <c r="H23" s="7"/>
      <c r="I23" s="7"/>
    </row>
    <row r="24" spans="1:9" ht="26.25" customHeight="1" x14ac:dyDescent="0.25">
      <c r="A24" s="11">
        <v>16</v>
      </c>
      <c r="B24" s="12"/>
      <c r="C24" s="12" t="s">
        <v>50</v>
      </c>
      <c r="D24" s="13">
        <v>0.5</v>
      </c>
      <c r="E24" s="14">
        <f>F22</f>
        <v>46382</v>
      </c>
      <c r="F24" s="14">
        <f>E24+D24*7</f>
        <v>46385.5</v>
      </c>
      <c r="G24" s="12" t="s">
        <v>30</v>
      </c>
      <c r="H24" s="15" t="s">
        <v>14</v>
      </c>
      <c r="I24" s="12"/>
    </row>
    <row r="25" spans="1:9" ht="26.25" customHeight="1" x14ac:dyDescent="0.25">
      <c r="A25" s="11">
        <v>17</v>
      </c>
      <c r="B25" s="12"/>
      <c r="C25" s="12" t="s">
        <v>51</v>
      </c>
      <c r="D25" s="13">
        <v>1</v>
      </c>
      <c r="E25" s="14">
        <f>F24</f>
        <v>46385.5</v>
      </c>
      <c r="F25" s="14">
        <f>E25+D25*7</f>
        <v>46392.5</v>
      </c>
      <c r="G25" s="12" t="s">
        <v>52</v>
      </c>
      <c r="H25" s="15" t="s">
        <v>14</v>
      </c>
      <c r="I25" s="12" t="s">
        <v>53</v>
      </c>
    </row>
    <row r="26" spans="1:9" ht="26.25" customHeight="1" x14ac:dyDescent="0.25">
      <c r="A26" s="11">
        <v>18</v>
      </c>
      <c r="B26" s="12"/>
      <c r="C26" s="12" t="s">
        <v>54</v>
      </c>
      <c r="D26" s="13">
        <v>1</v>
      </c>
      <c r="E26" s="14">
        <f>F25</f>
        <v>46392.5</v>
      </c>
      <c r="F26" s="14">
        <f>E26+D26*7</f>
        <v>46399.5</v>
      </c>
      <c r="G26" s="12" t="s">
        <v>55</v>
      </c>
      <c r="H26" s="15" t="s">
        <v>14</v>
      </c>
      <c r="I26" s="12"/>
    </row>
    <row r="27" spans="1:9" ht="15" customHeight="1" x14ac:dyDescent="0.25">
      <c r="A27" s="7" t="s">
        <v>56</v>
      </c>
      <c r="B27" s="7"/>
      <c r="C27" s="7"/>
      <c r="D27" s="7"/>
      <c r="E27" s="7"/>
      <c r="F27" s="7"/>
      <c r="G27" s="7"/>
      <c r="H27" s="7"/>
      <c r="I27" s="7"/>
    </row>
    <row r="28" spans="1:9" ht="26.25" customHeight="1" x14ac:dyDescent="0.25">
      <c r="A28" s="11">
        <v>19</v>
      </c>
      <c r="B28" s="12"/>
      <c r="C28" s="12" t="s">
        <v>57</v>
      </c>
      <c r="D28" s="13">
        <v>0.5</v>
      </c>
      <c r="E28" s="14">
        <f>F26</f>
        <v>46399.5</v>
      </c>
      <c r="F28" s="14">
        <f>E28+D28*7</f>
        <v>46403</v>
      </c>
      <c r="G28" s="12" t="s">
        <v>52</v>
      </c>
      <c r="H28" s="15" t="s">
        <v>14</v>
      </c>
      <c r="I28" s="12" t="s">
        <v>58</v>
      </c>
    </row>
    <row r="29" spans="1:9" ht="26.25" customHeight="1" x14ac:dyDescent="0.25">
      <c r="A29" s="11">
        <v>20</v>
      </c>
      <c r="B29" s="12"/>
      <c r="C29" s="12" t="s">
        <v>59</v>
      </c>
      <c r="D29" s="13">
        <v>2</v>
      </c>
      <c r="E29" s="14">
        <f>F28</f>
        <v>46403</v>
      </c>
      <c r="F29" s="14">
        <f>E29+D29*7</f>
        <v>46417</v>
      </c>
      <c r="G29" s="12" t="s">
        <v>52</v>
      </c>
      <c r="H29" s="15" t="s">
        <v>14</v>
      </c>
      <c r="I29" s="12" t="s">
        <v>60</v>
      </c>
    </row>
    <row r="30" spans="1:9" ht="26.25" customHeight="1" x14ac:dyDescent="0.25">
      <c r="A30" s="11">
        <v>21</v>
      </c>
      <c r="B30" s="12"/>
      <c r="C30" s="12" t="s">
        <v>61</v>
      </c>
      <c r="D30" s="13">
        <v>2</v>
      </c>
      <c r="E30" s="14">
        <f>F29</f>
        <v>46417</v>
      </c>
      <c r="F30" s="14">
        <f>E30+D30*7</f>
        <v>46431</v>
      </c>
      <c r="G30" s="12" t="s">
        <v>52</v>
      </c>
      <c r="H30" s="15" t="s">
        <v>14</v>
      </c>
      <c r="I30" s="12" t="s">
        <v>62</v>
      </c>
    </row>
    <row r="31" spans="1:9" ht="26.25" customHeight="1" x14ac:dyDescent="0.25">
      <c r="A31" s="11">
        <v>22</v>
      </c>
      <c r="B31" s="12"/>
      <c r="C31" s="12" t="s">
        <v>63</v>
      </c>
      <c r="D31" s="13">
        <v>1</v>
      </c>
      <c r="E31" s="14">
        <f>F30</f>
        <v>46431</v>
      </c>
      <c r="F31" s="14">
        <f>E31+D31*7</f>
        <v>46438</v>
      </c>
      <c r="G31" s="12" t="s">
        <v>52</v>
      </c>
      <c r="H31" s="15" t="s">
        <v>14</v>
      </c>
      <c r="I31" s="12"/>
    </row>
    <row r="32" spans="1:9" ht="15" customHeight="1" x14ac:dyDescent="0.25">
      <c r="A32" s="7" t="s">
        <v>64</v>
      </c>
      <c r="B32" s="7"/>
      <c r="C32" s="7"/>
      <c r="D32" s="7"/>
      <c r="E32" s="7"/>
      <c r="F32" s="7"/>
      <c r="G32" s="7"/>
      <c r="H32" s="7"/>
      <c r="I32" s="7"/>
    </row>
    <row r="33" spans="1:9" ht="26.25" customHeight="1" x14ac:dyDescent="0.25">
      <c r="A33" s="11">
        <v>23</v>
      </c>
      <c r="B33" s="12"/>
      <c r="C33" s="12" t="s">
        <v>65</v>
      </c>
      <c r="D33" s="13">
        <v>0</v>
      </c>
      <c r="E33" s="14">
        <f>F31</f>
        <v>46438</v>
      </c>
      <c r="F33" s="14">
        <f>E33+D33*7</f>
        <v>46438</v>
      </c>
      <c r="G33" s="12" t="s">
        <v>22</v>
      </c>
      <c r="H33" s="15" t="s">
        <v>14</v>
      </c>
      <c r="I33" s="12" t="s">
        <v>66</v>
      </c>
    </row>
    <row r="34" spans="1:9" ht="26.25" customHeight="1" x14ac:dyDescent="0.25">
      <c r="A34" s="11">
        <v>24</v>
      </c>
      <c r="B34" s="12"/>
      <c r="C34" s="12" t="s">
        <v>67</v>
      </c>
      <c r="D34" s="13">
        <v>0</v>
      </c>
      <c r="E34" s="14">
        <f>F33</f>
        <v>46438</v>
      </c>
      <c r="F34" s="14">
        <f>E34+D34*7</f>
        <v>46438</v>
      </c>
      <c r="G34" s="12" t="s">
        <v>22</v>
      </c>
      <c r="H34" s="15" t="s">
        <v>14</v>
      </c>
      <c r="I34" s="12"/>
    </row>
    <row r="35" spans="1:9" ht="26.25" customHeight="1" x14ac:dyDescent="0.25">
      <c r="A35" s="11">
        <v>25</v>
      </c>
      <c r="B35" s="12"/>
      <c r="C35" s="12" t="s">
        <v>68</v>
      </c>
      <c r="D35" s="13">
        <v>0</v>
      </c>
      <c r="E35" s="14">
        <f>F34</f>
        <v>46438</v>
      </c>
      <c r="F35" s="14">
        <f>E35+D35*7</f>
        <v>46438</v>
      </c>
      <c r="G35" s="12" t="s">
        <v>22</v>
      </c>
      <c r="H35" s="15" t="s">
        <v>14</v>
      </c>
      <c r="I35" s="12" t="s">
        <v>69</v>
      </c>
    </row>
    <row r="37" spans="1:9" ht="15" customHeight="1" x14ac:dyDescent="0.25">
      <c r="B37" s="6" t="s">
        <v>70</v>
      </c>
      <c r="C37" s="6"/>
      <c r="D37" s="6"/>
      <c r="E37" s="6"/>
      <c r="F37" s="6"/>
      <c r="G37" s="6"/>
      <c r="H37" s="6"/>
      <c r="I37" s="6"/>
    </row>
  </sheetData>
  <mergeCells count="9">
    <mergeCell ref="A23:I23"/>
    <mergeCell ref="A27:I27"/>
    <mergeCell ref="A32:I32"/>
    <mergeCell ref="B37:I37"/>
    <mergeCell ref="B1:I1"/>
    <mergeCell ref="B2:I2"/>
    <mergeCell ref="A5:I5"/>
    <mergeCell ref="A10:I10"/>
    <mergeCell ref="A15:I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zoomScaleNormal="100" workbookViewId="0">
      <pane ySplit="4" topLeftCell="A5" activePane="bottomLeft" state="frozen"/>
      <selection pane="bottomLeft"/>
    </sheetView>
  </sheetViews>
  <sheetFormatPr defaultColWidth="8.7109375" defaultRowHeight="15" x14ac:dyDescent="0.25"/>
  <cols>
    <col min="1" max="1" width="4" customWidth="1"/>
    <col min="2" max="2" width="30" customWidth="1"/>
    <col min="3" max="3" width="26" customWidth="1"/>
    <col min="4" max="4" width="14" customWidth="1"/>
    <col min="5" max="5" width="20" customWidth="1"/>
    <col min="6" max="6" width="18" customWidth="1"/>
    <col min="7" max="7" width="42" customWidth="1"/>
    <col min="8" max="8" width="55" customWidth="1"/>
  </cols>
  <sheetData>
    <row r="1" spans="1:8" ht="17.25" customHeight="1" x14ac:dyDescent="0.25">
      <c r="B1" s="9" t="s">
        <v>71</v>
      </c>
      <c r="C1" s="9"/>
      <c r="D1" s="9"/>
      <c r="E1" s="9"/>
      <c r="F1" s="9"/>
      <c r="G1" s="9"/>
      <c r="H1" s="9"/>
    </row>
    <row r="2" spans="1:8" ht="15" customHeight="1" x14ac:dyDescent="0.25">
      <c r="B2" s="8" t="s">
        <v>72</v>
      </c>
      <c r="C2" s="8"/>
      <c r="D2" s="8"/>
      <c r="E2" s="8"/>
      <c r="F2" s="8"/>
      <c r="G2" s="8"/>
      <c r="H2" s="8"/>
    </row>
    <row r="4" spans="1:8" ht="26.25" customHeight="1" x14ac:dyDescent="0.25">
      <c r="A4" s="10" t="s">
        <v>2</v>
      </c>
      <c r="B4" s="10" t="s">
        <v>73</v>
      </c>
      <c r="C4" s="10" t="s">
        <v>74</v>
      </c>
      <c r="D4" s="10" t="s">
        <v>75</v>
      </c>
      <c r="E4" s="10" t="s">
        <v>76</v>
      </c>
      <c r="F4" s="10" t="s">
        <v>77</v>
      </c>
      <c r="G4" s="10" t="s">
        <v>78</v>
      </c>
      <c r="H4" s="10" t="s">
        <v>79</v>
      </c>
    </row>
    <row r="5" spans="1:8" ht="39" customHeight="1" x14ac:dyDescent="0.25">
      <c r="A5" s="11">
        <v>1</v>
      </c>
      <c r="B5" s="12" t="s">
        <v>80</v>
      </c>
      <c r="C5" s="12" t="s">
        <v>81</v>
      </c>
      <c r="D5" s="12" t="s">
        <v>82</v>
      </c>
      <c r="E5" s="12" t="s">
        <v>83</v>
      </c>
      <c r="F5" s="12" t="s">
        <v>84</v>
      </c>
      <c r="G5" s="16" t="s">
        <v>85</v>
      </c>
      <c r="H5" s="12" t="s">
        <v>86</v>
      </c>
    </row>
    <row r="6" spans="1:8" ht="39" customHeight="1" x14ac:dyDescent="0.25">
      <c r="A6" s="11">
        <v>2</v>
      </c>
      <c r="B6" s="12" t="s">
        <v>87</v>
      </c>
      <c r="C6" s="12" t="s">
        <v>88</v>
      </c>
      <c r="D6" s="12" t="s">
        <v>82</v>
      </c>
      <c r="E6" s="12" t="s">
        <v>82</v>
      </c>
      <c r="F6" s="12" t="s">
        <v>82</v>
      </c>
      <c r="G6" s="16" t="s">
        <v>89</v>
      </c>
      <c r="H6" s="12" t="s">
        <v>90</v>
      </c>
    </row>
    <row r="7" spans="1:8" ht="26.25" customHeight="1" x14ac:dyDescent="0.25">
      <c r="A7" s="11">
        <v>3</v>
      </c>
      <c r="B7" s="12" t="s">
        <v>91</v>
      </c>
      <c r="C7" s="12" t="s">
        <v>92</v>
      </c>
      <c r="D7" s="12" t="s">
        <v>82</v>
      </c>
      <c r="E7" s="12" t="s">
        <v>82</v>
      </c>
      <c r="F7" s="12" t="s">
        <v>82</v>
      </c>
      <c r="G7" s="16" t="s">
        <v>93</v>
      </c>
      <c r="H7" s="12" t="s">
        <v>94</v>
      </c>
    </row>
    <row r="8" spans="1:8" ht="39" customHeight="1" x14ac:dyDescent="0.25">
      <c r="A8" s="11">
        <v>4</v>
      </c>
      <c r="B8" s="12" t="s">
        <v>95</v>
      </c>
      <c r="C8" s="12" t="s">
        <v>96</v>
      </c>
      <c r="D8" s="12" t="s">
        <v>97</v>
      </c>
      <c r="E8" s="12" t="s">
        <v>98</v>
      </c>
      <c r="F8" s="12" t="s">
        <v>82</v>
      </c>
      <c r="G8" s="16" t="s">
        <v>99</v>
      </c>
      <c r="H8" s="12" t="s">
        <v>100</v>
      </c>
    </row>
    <row r="9" spans="1:8" ht="39" customHeight="1" x14ac:dyDescent="0.25">
      <c r="A9" s="11">
        <v>5</v>
      </c>
      <c r="B9" s="12" t="s">
        <v>101</v>
      </c>
      <c r="C9" s="12" t="s">
        <v>102</v>
      </c>
      <c r="D9" s="12" t="s">
        <v>103</v>
      </c>
      <c r="E9" s="12" t="s">
        <v>104</v>
      </c>
      <c r="F9" s="12" t="s">
        <v>105</v>
      </c>
      <c r="G9" s="16" t="s">
        <v>106</v>
      </c>
      <c r="H9" s="12" t="s">
        <v>107</v>
      </c>
    </row>
    <row r="10" spans="1:8" ht="39" customHeight="1" x14ac:dyDescent="0.25">
      <c r="A10" s="11">
        <v>6</v>
      </c>
      <c r="B10" s="12" t="s">
        <v>108</v>
      </c>
      <c r="C10" s="12" t="s">
        <v>109</v>
      </c>
      <c r="D10" s="12" t="s">
        <v>97</v>
      </c>
      <c r="E10" s="12" t="s">
        <v>110</v>
      </c>
      <c r="F10" s="12" t="s">
        <v>111</v>
      </c>
      <c r="G10" s="16" t="s">
        <v>112</v>
      </c>
      <c r="H10" s="12" t="s">
        <v>113</v>
      </c>
    </row>
    <row r="11" spans="1:8" ht="39" customHeight="1" x14ac:dyDescent="0.25">
      <c r="A11" s="11">
        <v>7</v>
      </c>
      <c r="B11" s="12" t="s">
        <v>114</v>
      </c>
      <c r="C11" s="12" t="s">
        <v>115</v>
      </c>
      <c r="D11" s="12" t="s">
        <v>116</v>
      </c>
      <c r="E11" s="12" t="s">
        <v>117</v>
      </c>
      <c r="F11" s="12" t="s">
        <v>82</v>
      </c>
      <c r="G11" s="16" t="s">
        <v>118</v>
      </c>
      <c r="H11" s="12" t="s">
        <v>119</v>
      </c>
    </row>
    <row r="12" spans="1:8" ht="26.25" customHeight="1" x14ac:dyDescent="0.25">
      <c r="A12" s="11">
        <v>8</v>
      </c>
      <c r="B12" s="12" t="s">
        <v>120</v>
      </c>
      <c r="C12" s="12" t="s">
        <v>115</v>
      </c>
      <c r="D12" s="12" t="s">
        <v>82</v>
      </c>
      <c r="E12" s="12" t="s">
        <v>121</v>
      </c>
      <c r="F12" s="12" t="s">
        <v>82</v>
      </c>
      <c r="G12" s="16" t="s">
        <v>122</v>
      </c>
      <c r="H12" s="12" t="s">
        <v>123</v>
      </c>
    </row>
    <row r="13" spans="1:8" ht="26.25" customHeight="1" x14ac:dyDescent="0.25">
      <c r="A13" s="11">
        <v>9</v>
      </c>
      <c r="B13" s="12" t="s">
        <v>124</v>
      </c>
      <c r="C13" s="12" t="s">
        <v>115</v>
      </c>
      <c r="D13" s="12" t="s">
        <v>125</v>
      </c>
      <c r="E13" s="12" t="s">
        <v>126</v>
      </c>
      <c r="F13" s="12" t="s">
        <v>105</v>
      </c>
      <c r="G13" s="16" t="s">
        <v>127</v>
      </c>
      <c r="H13" s="12" t="s">
        <v>128</v>
      </c>
    </row>
    <row r="14" spans="1:8" ht="26.25" customHeight="1" x14ac:dyDescent="0.25">
      <c r="A14" s="11">
        <v>10</v>
      </c>
      <c r="B14" s="12" t="s">
        <v>129</v>
      </c>
      <c r="C14" s="12" t="s">
        <v>115</v>
      </c>
      <c r="D14" s="12" t="s">
        <v>82</v>
      </c>
      <c r="E14" s="12" t="s">
        <v>130</v>
      </c>
      <c r="F14" s="12" t="s">
        <v>82</v>
      </c>
      <c r="G14" s="16" t="s">
        <v>131</v>
      </c>
      <c r="H14" s="12" t="s">
        <v>132</v>
      </c>
    </row>
    <row r="16" spans="1:8" ht="15" customHeight="1" x14ac:dyDescent="0.25">
      <c r="B16" s="6" t="s">
        <v>133</v>
      </c>
      <c r="C16" s="6"/>
      <c r="D16" s="6"/>
      <c r="E16" s="6"/>
      <c r="F16" s="6"/>
      <c r="G16" s="6"/>
      <c r="H16" s="6"/>
    </row>
  </sheetData>
  <mergeCells count="3">
    <mergeCell ref="B1:H1"/>
    <mergeCell ref="B2:H2"/>
    <mergeCell ref="B16:H16"/>
  </mergeCells>
  <hyperlinks>
    <hyperlink ref="G5" r:id="rId1" xr:uid="{00000000-0004-0000-0100-000000000000}"/>
    <hyperlink ref="G6" r:id="rId2" xr:uid="{00000000-0004-0000-0100-000001000000}"/>
    <hyperlink ref="G7" r:id="rId3" xr:uid="{00000000-0004-0000-0100-000002000000}"/>
    <hyperlink ref="G8" r:id="rId4" xr:uid="{00000000-0004-0000-0100-000003000000}"/>
    <hyperlink ref="G9" r:id="rId5" xr:uid="{00000000-0004-0000-0100-000004000000}"/>
    <hyperlink ref="G10" r:id="rId6" xr:uid="{00000000-0004-0000-0100-000005000000}"/>
    <hyperlink ref="G11" r:id="rId7" xr:uid="{00000000-0004-0000-0100-000006000000}"/>
    <hyperlink ref="G12" r:id="rId8" xr:uid="{00000000-0004-0000-0100-000007000000}"/>
    <hyperlink ref="G13" r:id="rId9" xr:uid="{00000000-0004-0000-0100-000008000000}"/>
    <hyperlink ref="G14" r:id="rId10" xr:uid="{00000000-0004-0000-0100-000009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zoomScaleNormal="100" workbookViewId="0">
      <pane ySplit="3" topLeftCell="A4" activePane="bottomLeft" state="frozen"/>
      <selection pane="bottomLeft"/>
    </sheetView>
  </sheetViews>
  <sheetFormatPr defaultColWidth="8.7109375" defaultRowHeight="15" x14ac:dyDescent="0.25"/>
  <cols>
    <col min="1" max="1" width="4" customWidth="1"/>
    <col min="2" max="2" width="26" customWidth="1"/>
    <col min="3" max="3" width="50" customWidth="1"/>
    <col min="4" max="4" width="20" customWidth="1"/>
    <col min="5" max="5" width="14" customWidth="1"/>
  </cols>
  <sheetData>
    <row r="1" spans="1:6" ht="17.25" customHeight="1" x14ac:dyDescent="0.25">
      <c r="B1" s="9" t="s">
        <v>134</v>
      </c>
      <c r="C1" s="9"/>
      <c r="D1" s="9"/>
      <c r="E1" s="9"/>
      <c r="F1" s="9"/>
    </row>
    <row r="3" spans="1:6" ht="26.25" customHeight="1" x14ac:dyDescent="0.25">
      <c r="A3" s="10" t="s">
        <v>2</v>
      </c>
      <c r="B3" s="10" t="s">
        <v>135</v>
      </c>
      <c r="C3" s="10" t="s">
        <v>136</v>
      </c>
      <c r="D3" s="10" t="s">
        <v>137</v>
      </c>
      <c r="E3" s="10" t="s">
        <v>138</v>
      </c>
    </row>
    <row r="4" spans="1:6" ht="26.25" customHeight="1" x14ac:dyDescent="0.25">
      <c r="A4" s="11">
        <v>1</v>
      </c>
      <c r="B4" s="12" t="s">
        <v>139</v>
      </c>
      <c r="C4" s="12" t="s">
        <v>140</v>
      </c>
      <c r="D4" s="11" t="s">
        <v>141</v>
      </c>
      <c r="E4" s="17" t="s">
        <v>142</v>
      </c>
    </row>
    <row r="5" spans="1:6" ht="26.25" customHeight="1" x14ac:dyDescent="0.25">
      <c r="A5" s="11">
        <v>2</v>
      </c>
      <c r="B5" s="12" t="s">
        <v>143</v>
      </c>
      <c r="C5" s="12" t="s">
        <v>144</v>
      </c>
      <c r="D5" s="11" t="s">
        <v>145</v>
      </c>
      <c r="E5" s="17" t="s">
        <v>142</v>
      </c>
    </row>
    <row r="6" spans="1:6" ht="26.25" customHeight="1" x14ac:dyDescent="0.25">
      <c r="A6" s="11">
        <v>3</v>
      </c>
      <c r="B6" s="12" t="s">
        <v>146</v>
      </c>
      <c r="C6" s="12" t="s">
        <v>147</v>
      </c>
      <c r="D6" s="11" t="s">
        <v>145</v>
      </c>
      <c r="E6" s="17" t="s">
        <v>142</v>
      </c>
    </row>
    <row r="7" spans="1:6" ht="26.25" customHeight="1" x14ac:dyDescent="0.25">
      <c r="A7" s="11">
        <v>4</v>
      </c>
      <c r="B7" s="12" t="s">
        <v>148</v>
      </c>
      <c r="C7" s="12" t="s">
        <v>149</v>
      </c>
      <c r="D7" s="11" t="s">
        <v>150</v>
      </c>
      <c r="E7" s="17" t="s">
        <v>142</v>
      </c>
    </row>
    <row r="8" spans="1:6" ht="26.25" customHeight="1" x14ac:dyDescent="0.25">
      <c r="A8" s="11">
        <v>5</v>
      </c>
      <c r="B8" s="12" t="s">
        <v>151</v>
      </c>
      <c r="C8" s="12" t="s">
        <v>152</v>
      </c>
      <c r="D8" s="11" t="s">
        <v>153</v>
      </c>
      <c r="E8" s="17" t="s">
        <v>142</v>
      </c>
    </row>
    <row r="9" spans="1:6" ht="26.25" customHeight="1" x14ac:dyDescent="0.25">
      <c r="A9" s="11">
        <v>6</v>
      </c>
      <c r="B9" s="12" t="s">
        <v>154</v>
      </c>
      <c r="C9" s="12" t="s">
        <v>155</v>
      </c>
      <c r="D9" s="11" t="s">
        <v>145</v>
      </c>
      <c r="E9" s="17" t="s">
        <v>142</v>
      </c>
    </row>
    <row r="10" spans="1:6" ht="51.75" customHeight="1" x14ac:dyDescent="0.25">
      <c r="A10" s="11">
        <v>7</v>
      </c>
      <c r="B10" s="12" t="s">
        <v>156</v>
      </c>
      <c r="C10" s="12" t="s">
        <v>157</v>
      </c>
      <c r="D10" s="11" t="s">
        <v>145</v>
      </c>
      <c r="E10" s="17" t="s">
        <v>142</v>
      </c>
    </row>
    <row r="11" spans="1:6" ht="26.25" customHeight="1" x14ac:dyDescent="0.25">
      <c r="A11" s="11">
        <v>8</v>
      </c>
      <c r="B11" s="12" t="s">
        <v>158</v>
      </c>
      <c r="C11" s="12" t="s">
        <v>159</v>
      </c>
      <c r="D11" s="11" t="s">
        <v>160</v>
      </c>
      <c r="E11" s="18" t="s">
        <v>161</v>
      </c>
    </row>
    <row r="12" spans="1:6" ht="26.25" customHeight="1" x14ac:dyDescent="0.25">
      <c r="A12" s="11">
        <v>9</v>
      </c>
      <c r="B12" s="12" t="s">
        <v>162</v>
      </c>
      <c r="C12" s="12" t="s">
        <v>163</v>
      </c>
      <c r="D12" s="11" t="s">
        <v>160</v>
      </c>
      <c r="E12" s="18" t="s">
        <v>161</v>
      </c>
    </row>
    <row r="13" spans="1:6" ht="26.25" customHeight="1" x14ac:dyDescent="0.25">
      <c r="A13" s="11">
        <v>10</v>
      </c>
      <c r="B13" s="12" t="s">
        <v>164</v>
      </c>
      <c r="C13" s="12" t="s">
        <v>165</v>
      </c>
      <c r="D13" s="11" t="s">
        <v>166</v>
      </c>
      <c r="E13" s="18" t="s">
        <v>161</v>
      </c>
    </row>
    <row r="14" spans="1:6" ht="26.25" customHeight="1" x14ac:dyDescent="0.25">
      <c r="A14" s="11">
        <v>11</v>
      </c>
      <c r="B14" s="12" t="s">
        <v>167</v>
      </c>
      <c r="C14" s="12" t="s">
        <v>168</v>
      </c>
      <c r="D14" s="11" t="s">
        <v>166</v>
      </c>
      <c r="E14" s="18" t="s">
        <v>169</v>
      </c>
    </row>
    <row r="15" spans="1:6" ht="26.25" customHeight="1" x14ac:dyDescent="0.25">
      <c r="A15" s="11">
        <v>12</v>
      </c>
      <c r="B15" s="12" t="s">
        <v>170</v>
      </c>
      <c r="C15" s="12" t="s">
        <v>171</v>
      </c>
      <c r="D15" s="11" t="s">
        <v>166</v>
      </c>
      <c r="E15" s="18" t="s">
        <v>169</v>
      </c>
    </row>
  </sheetData>
  <mergeCells count="1">
    <mergeCell ref="B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zoomScaleNormal="100" workbookViewId="0">
      <pane ySplit="4" topLeftCell="A5" activePane="bottomLeft" state="frozen"/>
      <selection pane="bottomLeft"/>
    </sheetView>
  </sheetViews>
  <sheetFormatPr defaultColWidth="8.7109375" defaultRowHeight="15" x14ac:dyDescent="0.25"/>
  <cols>
    <col min="1" max="1" width="4" customWidth="1"/>
    <col min="2" max="2" width="40" customWidth="1"/>
    <col min="3" max="4" width="18" customWidth="1"/>
    <col min="5" max="5" width="45" customWidth="1"/>
  </cols>
  <sheetData>
    <row r="1" spans="1:6" ht="17.25" customHeight="1" x14ac:dyDescent="0.25">
      <c r="B1" s="9" t="s">
        <v>172</v>
      </c>
      <c r="C1" s="9"/>
      <c r="D1" s="9"/>
      <c r="E1" s="9"/>
      <c r="F1" s="9"/>
    </row>
    <row r="2" spans="1:6" ht="15" customHeight="1" x14ac:dyDescent="0.25">
      <c r="B2" s="8" t="s">
        <v>173</v>
      </c>
      <c r="C2" s="8"/>
      <c r="D2" s="8"/>
      <c r="E2" s="8"/>
      <c r="F2" s="8"/>
    </row>
    <row r="4" spans="1:6" ht="26.25" customHeight="1" x14ac:dyDescent="0.25">
      <c r="A4" s="10" t="s">
        <v>2</v>
      </c>
      <c r="B4" s="10" t="s">
        <v>174</v>
      </c>
      <c r="C4" s="10" t="s">
        <v>175</v>
      </c>
      <c r="D4" s="10" t="s">
        <v>176</v>
      </c>
      <c r="E4" s="10" t="s">
        <v>177</v>
      </c>
    </row>
    <row r="5" spans="1:6" ht="54.75" customHeight="1" x14ac:dyDescent="0.25">
      <c r="A5" s="19">
        <v>1</v>
      </c>
      <c r="B5" s="20" t="s">
        <v>178</v>
      </c>
      <c r="C5" s="21">
        <v>0</v>
      </c>
      <c r="D5" s="21">
        <v>60</v>
      </c>
      <c r="E5" s="20" t="s">
        <v>179</v>
      </c>
    </row>
    <row r="6" spans="1:6" ht="68.25" customHeight="1" x14ac:dyDescent="0.25">
      <c r="A6" s="19">
        <v>2</v>
      </c>
      <c r="B6" s="20" t="s">
        <v>180</v>
      </c>
      <c r="C6" s="21">
        <v>0</v>
      </c>
      <c r="D6" s="21">
        <v>150</v>
      </c>
      <c r="E6" s="20" t="s">
        <v>181</v>
      </c>
    </row>
    <row r="7" spans="1:6" ht="95.25" customHeight="1" x14ac:dyDescent="0.25">
      <c r="A7" s="19">
        <v>3</v>
      </c>
      <c r="B7" s="20" t="s">
        <v>182</v>
      </c>
      <c r="C7" s="21">
        <v>25</v>
      </c>
      <c r="D7" s="21">
        <v>250</v>
      </c>
      <c r="E7" s="20" t="s">
        <v>183</v>
      </c>
    </row>
    <row r="8" spans="1:6" ht="15" customHeight="1" x14ac:dyDescent="0.25">
      <c r="A8" s="19">
        <v>4</v>
      </c>
      <c r="B8" s="20" t="s">
        <v>184</v>
      </c>
      <c r="C8" s="21">
        <v>0</v>
      </c>
      <c r="D8" s="21">
        <v>150</v>
      </c>
      <c r="E8" s="20" t="s">
        <v>185</v>
      </c>
    </row>
    <row r="9" spans="1:6" ht="15" customHeight="1" x14ac:dyDescent="0.25">
      <c r="A9" s="19">
        <v>5</v>
      </c>
      <c r="B9" s="20" t="s">
        <v>186</v>
      </c>
      <c r="C9" s="21">
        <v>0</v>
      </c>
      <c r="D9" s="21">
        <v>100</v>
      </c>
      <c r="E9" s="20" t="s">
        <v>187</v>
      </c>
    </row>
    <row r="10" spans="1:6" ht="27.75" customHeight="1" x14ac:dyDescent="0.25">
      <c r="A10" s="19">
        <v>6</v>
      </c>
      <c r="B10" s="20" t="s">
        <v>188</v>
      </c>
      <c r="C10" s="21">
        <v>99</v>
      </c>
      <c r="D10" s="21">
        <v>124</v>
      </c>
      <c r="E10" s="20" t="s">
        <v>189</v>
      </c>
    </row>
    <row r="11" spans="1:6" ht="27.75" customHeight="1" x14ac:dyDescent="0.25">
      <c r="A11" s="19">
        <v>7</v>
      </c>
      <c r="B11" s="20" t="s">
        <v>190</v>
      </c>
      <c r="C11" s="21">
        <v>300</v>
      </c>
      <c r="D11" s="21">
        <v>1500</v>
      </c>
      <c r="E11" s="20" t="s">
        <v>191</v>
      </c>
    </row>
    <row r="12" spans="1:6" ht="15" customHeight="1" x14ac:dyDescent="0.25">
      <c r="A12" s="19">
        <v>8</v>
      </c>
      <c r="B12" s="20" t="s">
        <v>192</v>
      </c>
      <c r="C12" s="21">
        <v>0</v>
      </c>
      <c r="D12" s="21">
        <v>500</v>
      </c>
      <c r="E12" s="20" t="s">
        <v>193</v>
      </c>
    </row>
    <row r="13" spans="1:6" ht="95.25" customHeight="1" x14ac:dyDescent="0.25">
      <c r="A13" s="19">
        <v>9</v>
      </c>
      <c r="B13" s="20" t="s">
        <v>194</v>
      </c>
      <c r="C13" s="21">
        <v>0</v>
      </c>
      <c r="D13" s="21">
        <v>400</v>
      </c>
      <c r="E13" s="20" t="s">
        <v>195</v>
      </c>
    </row>
    <row r="14" spans="1:6" ht="81.75" customHeight="1" x14ac:dyDescent="0.25">
      <c r="A14" s="19">
        <v>10</v>
      </c>
      <c r="B14" s="20" t="s">
        <v>196</v>
      </c>
      <c r="C14" s="21">
        <v>0</v>
      </c>
      <c r="D14" s="21">
        <v>300</v>
      </c>
      <c r="E14" s="20" t="s">
        <v>197</v>
      </c>
    </row>
    <row r="15" spans="1:6" ht="15" customHeight="1" x14ac:dyDescent="0.25">
      <c r="A15" s="11">
        <v>11</v>
      </c>
      <c r="B15" s="12" t="s">
        <v>198</v>
      </c>
      <c r="C15" s="22">
        <f>SUM(C5:C14)*0.1</f>
        <v>42.400000000000006</v>
      </c>
      <c r="D15" s="22">
        <f>SUM(D5:D14)*0.1</f>
        <v>353.40000000000003</v>
      </c>
      <c r="E15" s="12" t="s">
        <v>199</v>
      </c>
    </row>
    <row r="16" spans="1:6" ht="15" customHeight="1" x14ac:dyDescent="0.25">
      <c r="A16" s="5" t="s">
        <v>200</v>
      </c>
      <c r="B16" s="5"/>
      <c r="C16" s="23">
        <f>SUM(C5:C15)</f>
        <v>466.4</v>
      </c>
      <c r="D16" s="23">
        <f>SUM(D5:D15)</f>
        <v>3887.4</v>
      </c>
      <c r="E16" s="24"/>
    </row>
    <row r="18" spans="2:5" ht="15" customHeight="1" x14ac:dyDescent="0.25">
      <c r="B18" s="6" t="s">
        <v>201</v>
      </c>
      <c r="C18" s="6"/>
      <c r="D18" s="6"/>
      <c r="E18" s="6"/>
    </row>
  </sheetData>
  <mergeCells count="4">
    <mergeCell ref="B1:F1"/>
    <mergeCell ref="B2:F2"/>
    <mergeCell ref="A16:B16"/>
    <mergeCell ref="B18:E1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D67"/>
  <sheetViews>
    <sheetView tabSelected="1" zoomScaleNormal="100" workbookViewId="0">
      <selection activeCell="B19" sqref="B19"/>
    </sheetView>
  </sheetViews>
  <sheetFormatPr defaultColWidth="8.7109375" defaultRowHeight="15" x14ac:dyDescent="0.25"/>
  <cols>
    <col min="1" max="1" width="4" customWidth="1"/>
    <col min="2" max="2" width="46" customWidth="1"/>
    <col min="3" max="3" width="35.140625" bestFit="1" customWidth="1"/>
    <col min="4" max="4" width="24" customWidth="1"/>
  </cols>
  <sheetData>
    <row r="1" spans="2:4" ht="17.25" customHeight="1" x14ac:dyDescent="0.25">
      <c r="B1" s="9" t="s">
        <v>202</v>
      </c>
      <c r="C1" s="9"/>
      <c r="D1" s="9"/>
    </row>
    <row r="2" spans="2:4" ht="27.75" customHeight="1" x14ac:dyDescent="0.25">
      <c r="B2" s="4" t="s">
        <v>203</v>
      </c>
      <c r="C2" s="4"/>
      <c r="D2" s="4"/>
    </row>
    <row r="4" spans="2:4" ht="15" customHeight="1" x14ac:dyDescent="0.25">
      <c r="B4" s="3" t="s">
        <v>204</v>
      </c>
      <c r="C4" s="3"/>
      <c r="D4" s="3"/>
    </row>
    <row r="5" spans="2:4" ht="15" customHeight="1" x14ac:dyDescent="0.25">
      <c r="B5" s="26" t="s">
        <v>205</v>
      </c>
      <c r="C5" s="27">
        <v>50000</v>
      </c>
    </row>
    <row r="6" spans="2:4" ht="15" customHeight="1" x14ac:dyDescent="0.25">
      <c r="B6" s="26" t="s">
        <v>206</v>
      </c>
      <c r="C6" s="28">
        <v>0.15</v>
      </c>
    </row>
    <row r="7" spans="2:4" ht="15" customHeight="1" x14ac:dyDescent="0.25">
      <c r="B7" s="26" t="s">
        <v>207</v>
      </c>
      <c r="C7" s="28">
        <v>0.02</v>
      </c>
    </row>
    <row r="8" spans="2:4" ht="15" customHeight="1" x14ac:dyDescent="0.25">
      <c r="B8" s="26" t="s">
        <v>208</v>
      </c>
      <c r="C8" s="28">
        <v>0.01</v>
      </c>
    </row>
    <row r="10" spans="2:4" ht="15" customHeight="1" x14ac:dyDescent="0.25">
      <c r="B10" s="10" t="s">
        <v>209</v>
      </c>
      <c r="C10" s="10" t="s">
        <v>210</v>
      </c>
      <c r="D10" s="10" t="s">
        <v>211</v>
      </c>
    </row>
    <row r="11" spans="2:4" ht="15" customHeight="1" x14ac:dyDescent="0.25">
      <c r="B11" s="29" t="s">
        <v>212</v>
      </c>
      <c r="C11" s="30">
        <v>0.04</v>
      </c>
      <c r="D11" s="30">
        <v>0.06</v>
      </c>
    </row>
    <row r="12" spans="2:4" ht="15" customHeight="1" x14ac:dyDescent="0.25">
      <c r="B12" s="29" t="s">
        <v>213</v>
      </c>
      <c r="C12" s="30">
        <v>0.65</v>
      </c>
      <c r="D12" s="30">
        <v>0.75</v>
      </c>
    </row>
    <row r="13" spans="2:4" ht="15" customHeight="1" x14ac:dyDescent="0.25">
      <c r="B13" s="29" t="s">
        <v>214</v>
      </c>
      <c r="C13" s="31">
        <v>6</v>
      </c>
      <c r="D13" s="31">
        <v>8</v>
      </c>
    </row>
    <row r="15" spans="2:4" ht="15" customHeight="1" x14ac:dyDescent="0.25">
      <c r="B15" s="3" t="s">
        <v>215</v>
      </c>
      <c r="C15" s="3"/>
      <c r="D15" s="3"/>
    </row>
    <row r="16" spans="2:4" ht="15" customHeight="1" x14ac:dyDescent="0.25">
      <c r="B16" s="32" t="s">
        <v>216</v>
      </c>
      <c r="C16" s="33">
        <f>$C$5*C11</f>
        <v>2000</v>
      </c>
      <c r="D16" s="33">
        <f>$C$5*D11</f>
        <v>3000</v>
      </c>
    </row>
    <row r="17" spans="2:4" ht="15" customHeight="1" x14ac:dyDescent="0.25">
      <c r="B17" s="32" t="s">
        <v>217</v>
      </c>
      <c r="C17" s="33">
        <f>C16*C12</f>
        <v>1300</v>
      </c>
      <c r="D17" s="33">
        <f>D16*D12</f>
        <v>2250</v>
      </c>
    </row>
    <row r="18" spans="2:4" ht="15" customHeight="1" x14ac:dyDescent="0.25">
      <c r="B18" s="32" t="s">
        <v>218</v>
      </c>
      <c r="C18" s="22">
        <f>C17*C13</f>
        <v>7800</v>
      </c>
      <c r="D18" s="22">
        <f>D17*D13</f>
        <v>18000</v>
      </c>
    </row>
    <row r="19" spans="2:4" ht="15" customHeight="1" x14ac:dyDescent="0.25">
      <c r="B19" s="32" t="s">
        <v>219</v>
      </c>
      <c r="C19" s="22">
        <f>C18*$C$6</f>
        <v>1170</v>
      </c>
      <c r="D19" s="22">
        <f>D18*$C$6</f>
        <v>2700</v>
      </c>
    </row>
    <row r="20" spans="2:4" ht="15" customHeight="1" x14ac:dyDescent="0.25">
      <c r="B20" s="32" t="s">
        <v>220</v>
      </c>
      <c r="C20" s="22">
        <f>C18*$C$7</f>
        <v>156</v>
      </c>
      <c r="D20" s="22">
        <f>D18*$C$7</f>
        <v>360</v>
      </c>
    </row>
    <row r="21" spans="2:4" ht="15" customHeight="1" x14ac:dyDescent="0.25">
      <c r="B21" s="32" t="s">
        <v>221</v>
      </c>
      <c r="C21" s="22">
        <f>C18*$C$8</f>
        <v>78</v>
      </c>
      <c r="D21" s="22">
        <f>D18*$C$8</f>
        <v>180</v>
      </c>
    </row>
    <row r="22" spans="2:4" ht="15" customHeight="1" x14ac:dyDescent="0.25">
      <c r="B22" s="34" t="s">
        <v>222</v>
      </c>
      <c r="C22" s="35">
        <f>C18-C19-C20-C21</f>
        <v>6396</v>
      </c>
      <c r="D22" s="35">
        <f>D18-D19-D20-D21</f>
        <v>14760</v>
      </c>
    </row>
    <row r="23" spans="2:4" ht="15" customHeight="1" x14ac:dyDescent="0.25">
      <c r="B23" s="32" t="s">
        <v>223</v>
      </c>
      <c r="C23" s="36">
        <f>C22/C18</f>
        <v>0.82</v>
      </c>
      <c r="D23" s="36">
        <f>D22/D18</f>
        <v>0.82</v>
      </c>
    </row>
    <row r="25" spans="2:4" ht="60" customHeight="1" x14ac:dyDescent="0.25">
      <c r="B25" s="2" t="s">
        <v>224</v>
      </c>
      <c r="C25" s="2"/>
      <c r="D25" s="2"/>
    </row>
    <row r="27" spans="2:4" ht="15" customHeight="1" x14ac:dyDescent="0.25">
      <c r="B27" s="1" t="s">
        <v>225</v>
      </c>
      <c r="C27" s="1"/>
      <c r="D27" s="1"/>
    </row>
    <row r="28" spans="2:4" ht="15" customHeight="1" x14ac:dyDescent="0.25">
      <c r="B28" s="26" t="s">
        <v>226</v>
      </c>
      <c r="C28" s="28">
        <v>0.18</v>
      </c>
    </row>
    <row r="29" spans="2:4" ht="15" customHeight="1" x14ac:dyDescent="0.25">
      <c r="B29" s="26" t="s">
        <v>227</v>
      </c>
      <c r="C29" s="37">
        <v>12</v>
      </c>
    </row>
    <row r="30" spans="2:4" ht="15" customHeight="1" x14ac:dyDescent="0.25">
      <c r="B30" s="26" t="s">
        <v>228</v>
      </c>
      <c r="C30" s="37">
        <v>7</v>
      </c>
    </row>
    <row r="31" spans="2:4" ht="15" customHeight="1" x14ac:dyDescent="0.25">
      <c r="B31" s="26" t="s">
        <v>229</v>
      </c>
      <c r="C31" s="38">
        <v>4</v>
      </c>
    </row>
    <row r="32" spans="2:4" ht="15" customHeight="1" x14ac:dyDescent="0.25">
      <c r="B32" s="26" t="s">
        <v>230</v>
      </c>
      <c r="C32" s="38">
        <v>3</v>
      </c>
    </row>
    <row r="34" spans="2:4" ht="15" customHeight="1" x14ac:dyDescent="0.25">
      <c r="B34" s="10" t="s">
        <v>209</v>
      </c>
      <c r="C34" s="10" t="s">
        <v>210</v>
      </c>
      <c r="D34" s="10" t="s">
        <v>211</v>
      </c>
    </row>
    <row r="35" spans="2:4" ht="15" customHeight="1" x14ac:dyDescent="0.25">
      <c r="B35" s="32" t="s">
        <v>231</v>
      </c>
      <c r="C35" s="33">
        <f>$C$5*$C$28</f>
        <v>9000</v>
      </c>
      <c r="D35" s="33">
        <f>$C$5*$C$28</f>
        <v>9000</v>
      </c>
    </row>
    <row r="36" spans="2:4" ht="15" customHeight="1" x14ac:dyDescent="0.25">
      <c r="B36" s="32" t="s">
        <v>232</v>
      </c>
      <c r="C36" s="33">
        <f>MAX(C35-C17,0)</f>
        <v>7700</v>
      </c>
      <c r="D36" s="33">
        <f>MAX(D35-D17,0)</f>
        <v>6750</v>
      </c>
    </row>
    <row r="37" spans="2:4" ht="15" customHeight="1" x14ac:dyDescent="0.25">
      <c r="B37" s="32" t="s">
        <v>233</v>
      </c>
      <c r="C37" s="22">
        <f>C36*(($C$31/1000)*$C$29+($C$32/1000)*$C$30)</f>
        <v>531.30000000000007</v>
      </c>
      <c r="D37" s="22">
        <f>D36*(($C$31/1000)*$C$29+($C$32/1000)*$C$30)</f>
        <v>465.75000000000006</v>
      </c>
    </row>
    <row r="39" spans="2:4" ht="15" customHeight="1" x14ac:dyDescent="0.25">
      <c r="B39" s="34" t="s">
        <v>234</v>
      </c>
      <c r="C39" s="35">
        <f>C22+C37</f>
        <v>6927.3</v>
      </c>
      <c r="D39" s="35">
        <f>D22+D37</f>
        <v>15225.75</v>
      </c>
    </row>
    <row r="41" spans="2:4" ht="75" customHeight="1" x14ac:dyDescent="0.25">
      <c r="B41" s="2" t="s">
        <v>235</v>
      </c>
      <c r="C41" s="2"/>
      <c r="D41" s="2"/>
    </row>
    <row r="43" spans="2:4" ht="15" customHeight="1" x14ac:dyDescent="0.25">
      <c r="B43" s="3" t="s">
        <v>236</v>
      </c>
      <c r="C43" s="3"/>
      <c r="D43" s="3"/>
    </row>
    <row r="44" spans="2:4" ht="45" customHeight="1" x14ac:dyDescent="0.25">
      <c r="B44" s="4" t="s">
        <v>237</v>
      </c>
      <c r="C44" s="4"/>
      <c r="D44" s="4"/>
    </row>
    <row r="46" spans="2:4" ht="15" customHeight="1" x14ac:dyDescent="0.25">
      <c r="B46" s="10" t="s">
        <v>209</v>
      </c>
      <c r="C46" s="10" t="s">
        <v>238</v>
      </c>
      <c r="D46" s="10" t="s">
        <v>239</v>
      </c>
    </row>
    <row r="47" spans="2:4" ht="15" customHeight="1" x14ac:dyDescent="0.25">
      <c r="B47" s="29" t="s">
        <v>240</v>
      </c>
      <c r="C47" s="39">
        <v>3000</v>
      </c>
      <c r="D47" s="39">
        <v>5000</v>
      </c>
    </row>
    <row r="48" spans="2:4" ht="15" customHeight="1" x14ac:dyDescent="0.25">
      <c r="B48" s="29" t="s">
        <v>212</v>
      </c>
      <c r="C48" s="30">
        <v>0.04</v>
      </c>
      <c r="D48" s="30">
        <v>0.06</v>
      </c>
    </row>
    <row r="49" spans="2:4" ht="15" customHeight="1" x14ac:dyDescent="0.25">
      <c r="B49" s="29" t="s">
        <v>213</v>
      </c>
      <c r="C49" s="30">
        <v>0.65</v>
      </c>
      <c r="D49" s="30">
        <v>0.75</v>
      </c>
    </row>
    <row r="50" spans="2:4" ht="15" customHeight="1" x14ac:dyDescent="0.25">
      <c r="B50" s="29" t="s">
        <v>214</v>
      </c>
      <c r="C50" s="21">
        <v>6</v>
      </c>
      <c r="D50" s="21">
        <v>8</v>
      </c>
    </row>
    <row r="52" spans="2:4" ht="15" customHeight="1" x14ac:dyDescent="0.25">
      <c r="B52" s="25" t="s">
        <v>215</v>
      </c>
    </row>
    <row r="53" spans="2:4" ht="15" customHeight="1" x14ac:dyDescent="0.25">
      <c r="B53" s="32" t="s">
        <v>216</v>
      </c>
      <c r="C53" s="33">
        <f>C47*C48</f>
        <v>120</v>
      </c>
      <c r="D53" s="33">
        <f>D47*D48</f>
        <v>300</v>
      </c>
    </row>
    <row r="54" spans="2:4" ht="15" customHeight="1" x14ac:dyDescent="0.25">
      <c r="B54" s="32" t="s">
        <v>217</v>
      </c>
      <c r="C54" s="33">
        <f>C53*C49</f>
        <v>78</v>
      </c>
      <c r="D54" s="33">
        <f>D53*D49</f>
        <v>225</v>
      </c>
    </row>
    <row r="55" spans="2:4" ht="15" customHeight="1" x14ac:dyDescent="0.25">
      <c r="B55" s="32" t="s">
        <v>218</v>
      </c>
      <c r="C55" s="22">
        <f>C54*C50</f>
        <v>468</v>
      </c>
      <c r="D55" s="22">
        <f>D54*D50</f>
        <v>1800</v>
      </c>
    </row>
    <row r="56" spans="2:4" ht="15" customHeight="1" x14ac:dyDescent="0.25">
      <c r="B56" s="32" t="s">
        <v>219</v>
      </c>
      <c r="C56" s="22">
        <f>C55*$C$6</f>
        <v>70.2</v>
      </c>
      <c r="D56" s="22">
        <f>D55*$C$6</f>
        <v>270</v>
      </c>
    </row>
    <row r="57" spans="2:4" ht="15" customHeight="1" x14ac:dyDescent="0.25">
      <c r="B57" s="32" t="s">
        <v>220</v>
      </c>
      <c r="C57" s="22">
        <f>C55*$C$7</f>
        <v>9.36</v>
      </c>
      <c r="D57" s="22">
        <f>D55*$C$7</f>
        <v>36</v>
      </c>
    </row>
    <row r="58" spans="2:4" ht="15" customHeight="1" x14ac:dyDescent="0.25">
      <c r="B58" s="32" t="s">
        <v>221</v>
      </c>
      <c r="C58" s="22">
        <f>C55*$C$8</f>
        <v>4.68</v>
      </c>
      <c r="D58" s="22">
        <f>D55*$C$8</f>
        <v>18</v>
      </c>
    </row>
    <row r="59" spans="2:4" ht="15" customHeight="1" x14ac:dyDescent="0.25">
      <c r="B59" s="34" t="s">
        <v>241</v>
      </c>
      <c r="C59" s="35">
        <f>C55-C56-C57-C58</f>
        <v>383.76</v>
      </c>
      <c r="D59" s="35">
        <f>D55-D56-D57-D58</f>
        <v>1476</v>
      </c>
    </row>
    <row r="61" spans="2:4" ht="15" customHeight="1" x14ac:dyDescent="0.25">
      <c r="B61" s="32" t="s">
        <v>231</v>
      </c>
      <c r="C61" s="33">
        <f>C47*$C$28</f>
        <v>540</v>
      </c>
      <c r="D61" s="33">
        <f>D47*$C$28</f>
        <v>900</v>
      </c>
    </row>
    <row r="62" spans="2:4" ht="15" customHeight="1" x14ac:dyDescent="0.25">
      <c r="B62" s="32" t="s">
        <v>232</v>
      </c>
      <c r="C62" s="33">
        <f>MAX(C61-C54,0)</f>
        <v>462</v>
      </c>
      <c r="D62" s="33">
        <f>MAX(D61-D54,0)</f>
        <v>675</v>
      </c>
    </row>
    <row r="63" spans="2:4" ht="15" customHeight="1" x14ac:dyDescent="0.25">
      <c r="B63" s="32" t="s">
        <v>233</v>
      </c>
      <c r="C63" s="22">
        <f>C62*(($C$31/1000)*$C$29+($C$32/1000)*$C$30)</f>
        <v>31.878000000000004</v>
      </c>
      <c r="D63" s="22">
        <f>D62*(($C$31/1000)*$C$29+($C$32/1000)*$C$30)</f>
        <v>46.575000000000003</v>
      </c>
    </row>
    <row r="65" spans="2:4" ht="15" customHeight="1" x14ac:dyDescent="0.25">
      <c r="B65" s="34" t="s">
        <v>242</v>
      </c>
      <c r="C65" s="35">
        <f>C59+C63</f>
        <v>415.63799999999998</v>
      </c>
      <c r="D65" s="35">
        <f>D59+D63</f>
        <v>1522.575</v>
      </c>
    </row>
    <row r="67" spans="2:4" ht="75" customHeight="1" x14ac:dyDescent="0.25">
      <c r="B67" s="2" t="s">
        <v>243</v>
      </c>
      <c r="C67" s="2"/>
      <c r="D67" s="2"/>
    </row>
  </sheetData>
  <mergeCells count="10">
    <mergeCell ref="B27:D27"/>
    <mergeCell ref="B41:D41"/>
    <mergeCell ref="B43:D43"/>
    <mergeCell ref="B44:D44"/>
    <mergeCell ref="B67:D67"/>
    <mergeCell ref="B1:D1"/>
    <mergeCell ref="B2:D2"/>
    <mergeCell ref="B4:D4"/>
    <mergeCell ref="B15:D15"/>
    <mergeCell ref="B25:D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Roadmap</vt:lpstr>
      <vt:lpstr>App tham khao</vt:lpstr>
      <vt:lpstr>Tinh nang MVP</vt:lpstr>
      <vt:lpstr>Ngan sach uoc tinh</vt:lpstr>
      <vt:lpstr>Du phong doanh thu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Thanh Chuyền</cp:lastModifiedBy>
  <cp:revision>0</cp:revision>
  <dcterms:created xsi:type="dcterms:W3CDTF">2026-09-19T10:34:15Z</dcterms:created>
  <dcterms:modified xsi:type="dcterms:W3CDTF">2026-09-27T04:59:03Z</dcterms:modified>
  <dc:language>en-US</dc:language>
</cp:coreProperties>
</file>